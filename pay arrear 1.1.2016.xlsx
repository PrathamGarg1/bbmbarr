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1" sheetId="2" r:id="rId5"/>
    <sheet state="visible" name="Sheet2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<sst xmlns="http://schemas.openxmlformats.org/spreadsheetml/2006/main" count="52" uniqueCount="31">
  <si>
    <t xml:space="preserve">Arrear on a/c of Revised Pay Scales w.e.f 01.01.2016 to 30.06.2021 in R/o </t>
  </si>
  <si>
    <t>DUE</t>
  </si>
  <si>
    <t>Drawn</t>
  </si>
  <si>
    <t>Period</t>
  </si>
  <si>
    <t>DA</t>
  </si>
  <si>
    <t>BP</t>
  </si>
  <si>
    <t>TOTAL</t>
  </si>
  <si>
    <t>GP</t>
  </si>
  <si>
    <t>IR</t>
  </si>
  <si>
    <t>Diff</t>
  </si>
  <si>
    <t>Total Diff</t>
  </si>
  <si>
    <t>01.09.2018 to 7.09.2018</t>
  </si>
  <si>
    <t>08.09.2018 to 30.09.2018</t>
  </si>
  <si>
    <t>01.02.2019 to 20.02.2019</t>
  </si>
  <si>
    <t>21.02.2019 to 28.02.2019</t>
  </si>
  <si>
    <t>01.12.2020 to 2.12.2020</t>
  </si>
  <si>
    <t>03.12.2020 to 31.12.2020</t>
  </si>
  <si>
    <t>Total</t>
  </si>
  <si>
    <t>Arrear on a/c of Revised Pay Scales w.e.f 01.01.2016 to 30.06.2021 in R/o Smt. Brij Bhushan, AAO</t>
  </si>
  <si>
    <t>M</t>
  </si>
  <si>
    <t>Jan to June 2016</t>
  </si>
  <si>
    <t>July to Nov 2016</t>
  </si>
  <si>
    <t>Jan to June 2017</t>
  </si>
  <si>
    <t>July to Nov 2017</t>
  </si>
  <si>
    <t>Jan to June 2018</t>
  </si>
  <si>
    <t>July to Nov 2018</t>
  </si>
  <si>
    <t>Jan to June 2019</t>
  </si>
  <si>
    <t>July to Nov 2019</t>
  </si>
  <si>
    <t>Jan to June 2020</t>
  </si>
  <si>
    <t>July to Nov 2020</t>
  </si>
  <si>
    <t>Jan to June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</si>
</sst>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9.0"/>
      <color/>
      <name val="Arial"/>
    </font>
    <font/>
    <font>
      <b/>
      <sz val="9.0"/>
      <color/>
      <name val="Calibri"/>
    </font>
    <font>
      <b/>
      <sz val="10.0"/>
      <color/>
      <name val="Arial"/>
    </font>
    <font>
      <b/>
      <sz val="11.0"/>
      <color/>
      <name val="Arial"/>
    </font>
    <font>
      <b/>
      <sz val="10.0"/>
      <color/>
      <name val="Calibri"/>
    </font>
    <font>
      <b/>
      <sz val="11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/>
    </xf>
    <xf borderId="4" fillId="0" fontId="3" numFmtId="17" xfId="0" applyAlignment="1" applyBorder="1" applyFont="1" applyNumberFormat="1">
      <alignment horizontal="center" shrinkToFit="0" wrapText="1"/>
    </xf>
    <xf borderId="4" fillId="0" fontId="6" numFmtId="9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2" fontId="3" numFmtId="17" xfId="0" applyAlignment="1" applyBorder="1" applyFill="1" applyFont="1" applyNumberFormat="1">
      <alignment horizontal="center" shrinkToFit="0" wrapText="1"/>
    </xf>
    <xf borderId="4" fillId="0" fontId="7" numFmtId="0" xfId="0" applyBorder="1" applyFont="1"/>
    <xf borderId="4" fillId="0" fontId="7" numFmtId="9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4" fillId="2" fontId="3" numFmtId="17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4" fillId="0" fontId="6" numFmtId="1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5" fillId="0" fontId="1" numFmtId="0" xfId="0" applyBorder="1" applyFont="1"/>
    <xf borderId="6" fillId="0" fontId="1" numFmtId="0" xfId="0" applyAlignment="1" applyBorder="1" applyFont="1">
      <alignment horizontal="center"/>
    </xf>
    <xf borderId="7" fillId="0" fontId="2" numFmtId="0" xfId="0" applyBorder="1" applyFont="1"/>
    <xf borderId="5" fillId="0" fontId="1" numFmtId="0" xfId="0" applyAlignment="1" applyBorder="1" applyFont="1">
      <alignment horizontal="center"/>
    </xf>
    <xf borderId="8" fillId="0" fontId="2" numFmtId="0" xfId="0" applyBorder="1" applyFont="1"/>
    <xf borderId="8" fillId="0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3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1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5" width="8.71"/>
    <col customWidth="1" min="6" max="6" width="9.14"/>
    <col customWidth="1" min="7" max="7" width="8.71"/>
    <col customWidth="1" min="8" max="8" width="9.14"/>
    <col customWidth="1" min="9" max="12" width="8.71"/>
    <col customWidth="1" min="13" max="13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6" t="s">
        <v>1</v>
      </c>
      <c r="D2" s="3"/>
      <c r="E2" s="5"/>
      <c r="F2" s="5"/>
      <c r="G2" s="6" t="s">
        <v>2</v>
      </c>
      <c r="H2" s="2"/>
      <c r="I2" s="2"/>
      <c r="J2" s="3"/>
      <c r="K2" s="5"/>
      <c r="L2" s="7"/>
      <c r="M2" s="7"/>
    </row>
    <row r="3">
      <c r="A3" s="5" t="s">
        <v>3</v>
      </c>
      <c r="B3" s="8" t="s">
        <v>4</v>
      </c>
      <c r="C3" s="8" t="s">
        <v>5</v>
      </c>
      <c r="D3" s="8" t="s">
        <v>4</v>
      </c>
      <c r="E3" s="8" t="s">
        <v>6</v>
      </c>
      <c r="F3" s="8" t="s">
        <v>4</v>
      </c>
      <c r="G3" s="8" t="s">
        <v>5</v>
      </c>
      <c r="H3" s="8" t="s">
        <v>7</v>
      </c>
      <c r="I3" s="8" t="s">
        <v>8</v>
      </c>
      <c r="J3" s="8" t="s">
        <v>4</v>
      </c>
      <c r="K3" s="8" t="s">
        <v>6</v>
      </c>
      <c r="L3" s="9" t="s">
        <v>9</v>
      </c>
      <c r="M3" s="10" t="s">
        <v>10</v>
      </c>
    </row>
    <row r="4">
      <c r="A4" s="11">
        <v>42370.0</v>
      </c>
      <c r="B4" s="12">
        <v>0.0</v>
      </c>
      <c r="C4" s="13">
        <v>52500.0</v>
      </c>
      <c r="D4" s="14" t="str">
        <f t="shared" ref="D4:D72" si="1">ROUND(C4*B4, 0)</f>
        <v>0</v>
      </c>
      <c r="E4" s="14" t="str">
        <f t="shared" ref="E4:E72" si="2">SUM(C4:D4)</f>
        <v>52500</v>
      </c>
      <c r="F4" s="12">
        <v>1.25</v>
      </c>
      <c r="G4" s="13">
        <v>15640.0</v>
      </c>
      <c r="H4" s="13">
        <v>4300.0</v>
      </c>
      <c r="I4" s="14" t="str">
        <f t="shared" ref="I4:I72" si="3"> ROUND((G4+H4)*5%,0)</f>
        <v>997</v>
      </c>
      <c r="J4" s="14" t="str">
        <f t="shared" ref="J4:J72" si="4">ROUND((G4+H4+I4)*F4,0)</f>
        <v>26171</v>
      </c>
      <c r="K4" s="14" t="str">
        <f t="shared" ref="K4:K72" si="5">SUM(G4:J4)</f>
        <v>47108</v>
      </c>
      <c r="L4" s="14" t="str">
        <f t="shared" ref="L4:L72" si="6">E4-K4</f>
        <v>5392</v>
      </c>
      <c r="M4" s="15"/>
    </row>
    <row r="5">
      <c r="A5" s="11">
        <v>42401.0</v>
      </c>
      <c r="B5" s="12">
        <v>0.0</v>
      </c>
      <c r="C5" s="13">
        <v>52500.0</v>
      </c>
      <c r="D5" s="14" t="str">
        <f t="shared" si="1"/>
        <v>0</v>
      </c>
      <c r="E5" s="14" t="str">
        <f t="shared" si="2"/>
        <v>52500</v>
      </c>
      <c r="F5" s="12">
        <v>1.25</v>
      </c>
      <c r="G5" s="13">
        <v>15640.0</v>
      </c>
      <c r="H5" s="13">
        <v>4300.0</v>
      </c>
      <c r="I5" s="14" t="str">
        <f t="shared" si="3"/>
        <v>997</v>
      </c>
      <c r="J5" s="14" t="str">
        <f t="shared" si="4"/>
        <v>26171</v>
      </c>
      <c r="K5" s="14" t="str">
        <f t="shared" si="5"/>
        <v>47108</v>
      </c>
      <c r="L5" s="14" t="str">
        <f t="shared" si="6"/>
        <v>5392</v>
      </c>
      <c r="M5" s="15"/>
    </row>
    <row r="6">
      <c r="A6" s="11">
        <v>42430.0</v>
      </c>
      <c r="B6" s="12">
        <v>0.0</v>
      </c>
      <c r="C6" s="13">
        <v>52500.0</v>
      </c>
      <c r="D6" s="14" t="str">
        <f t="shared" si="1"/>
        <v>0</v>
      </c>
      <c r="E6" s="14" t="str">
        <f t="shared" si="2"/>
        <v>52500</v>
      </c>
      <c r="F6" s="12">
        <v>1.25</v>
      </c>
      <c r="G6" s="13">
        <v>15640.0</v>
      </c>
      <c r="H6" s="13">
        <v>4300.0</v>
      </c>
      <c r="I6" s="14" t="str">
        <f t="shared" si="3"/>
        <v>997</v>
      </c>
      <c r="J6" s="14" t="str">
        <f t="shared" si="4"/>
        <v>26171</v>
      </c>
      <c r="K6" s="14" t="str">
        <f t="shared" si="5"/>
        <v>47108</v>
      </c>
      <c r="L6" s="14" t="str">
        <f t="shared" si="6"/>
        <v>5392</v>
      </c>
      <c r="M6" s="15"/>
    </row>
    <row r="7">
      <c r="A7" s="11">
        <v>42461.0</v>
      </c>
      <c r="B7" s="12">
        <v>0.0</v>
      </c>
      <c r="C7" s="13">
        <v>52500.0</v>
      </c>
      <c r="D7" s="14" t="str">
        <f t="shared" si="1"/>
        <v>0</v>
      </c>
      <c r="E7" s="14" t="str">
        <f t="shared" si="2"/>
        <v>52500</v>
      </c>
      <c r="F7" s="12">
        <v>1.25</v>
      </c>
      <c r="G7" s="13">
        <v>15640.0</v>
      </c>
      <c r="H7" s="13">
        <v>4300.0</v>
      </c>
      <c r="I7" s="14" t="str">
        <f t="shared" si="3"/>
        <v>997</v>
      </c>
      <c r="J7" s="14" t="str">
        <f t="shared" si="4"/>
        <v>26171</v>
      </c>
      <c r="K7" s="14" t="str">
        <f t="shared" si="5"/>
        <v>47108</v>
      </c>
      <c r="L7" s="14" t="str">
        <f t="shared" si="6"/>
        <v>5392</v>
      </c>
      <c r="M7" s="15"/>
    </row>
    <row r="8">
      <c r="A8" s="11">
        <v>42491.0</v>
      </c>
      <c r="B8" s="12">
        <v>0.0</v>
      </c>
      <c r="C8" s="13">
        <v>52500.0</v>
      </c>
      <c r="D8" s="14" t="str">
        <f t="shared" si="1"/>
        <v>0</v>
      </c>
      <c r="E8" s="14" t="str">
        <f t="shared" si="2"/>
        <v>52500</v>
      </c>
      <c r="F8" s="12">
        <v>1.25</v>
      </c>
      <c r="G8" s="13">
        <v>15640.0</v>
      </c>
      <c r="H8" s="13">
        <v>4300.0</v>
      </c>
      <c r="I8" s="14" t="str">
        <f t="shared" si="3"/>
        <v>997</v>
      </c>
      <c r="J8" s="14" t="str">
        <f t="shared" si="4"/>
        <v>26171</v>
      </c>
      <c r="K8" s="14" t="str">
        <f t="shared" si="5"/>
        <v>47108</v>
      </c>
      <c r="L8" s="14" t="str">
        <f t="shared" si="6"/>
        <v>5392</v>
      </c>
      <c r="M8" s="15"/>
    </row>
    <row r="9">
      <c r="A9" s="11">
        <v>42522.0</v>
      </c>
      <c r="B9" s="12">
        <v>0.0</v>
      </c>
      <c r="C9" s="13">
        <v>52500.0</v>
      </c>
      <c r="D9" s="14" t="str">
        <f t="shared" si="1"/>
        <v>0</v>
      </c>
      <c r="E9" s="14" t="str">
        <f t="shared" si="2"/>
        <v>52500</v>
      </c>
      <c r="F9" s="12">
        <v>1.25</v>
      </c>
      <c r="G9" s="13">
        <v>15640.0</v>
      </c>
      <c r="H9" s="13">
        <v>4300.0</v>
      </c>
      <c r="I9" s="14" t="str">
        <f t="shared" si="3"/>
        <v>997</v>
      </c>
      <c r="J9" s="14" t="str">
        <f t="shared" si="4"/>
        <v>26171</v>
      </c>
      <c r="K9" s="14" t="str">
        <f t="shared" si="5"/>
        <v>47108</v>
      </c>
      <c r="L9" s="14" t="str">
        <f t="shared" si="6"/>
        <v>5392</v>
      </c>
      <c r="M9" s="15"/>
    </row>
    <row r="10">
      <c r="A10" s="11">
        <v>42552.0</v>
      </c>
      <c r="B10" s="12">
        <v>0.02</v>
      </c>
      <c r="C10" s="13">
        <v>52500.0</v>
      </c>
      <c r="D10" s="14" t="str">
        <f t="shared" si="1"/>
        <v>1050</v>
      </c>
      <c r="E10" s="14" t="str">
        <f t="shared" si="2"/>
        <v>53550</v>
      </c>
      <c r="F10" s="12">
        <v>1.32</v>
      </c>
      <c r="G10" s="13">
        <v>15640.0</v>
      </c>
      <c r="H10" s="13">
        <v>4300.0</v>
      </c>
      <c r="I10" s="14" t="str">
        <f t="shared" si="3"/>
        <v>997</v>
      </c>
      <c r="J10" s="14" t="str">
        <f t="shared" si="4"/>
        <v>27637</v>
      </c>
      <c r="K10" s="14" t="str">
        <f t="shared" si="5"/>
        <v>48574</v>
      </c>
      <c r="L10" s="14" t="str">
        <f t="shared" si="6"/>
        <v>4976</v>
      </c>
      <c r="M10" s="15"/>
    </row>
    <row r="11">
      <c r="A11" s="11">
        <v>42583.0</v>
      </c>
      <c r="B11" s="12">
        <v>0.02</v>
      </c>
      <c r="C11" s="13">
        <v>52500.0</v>
      </c>
      <c r="D11" s="14" t="str">
        <f t="shared" si="1"/>
        <v>1050</v>
      </c>
      <c r="E11" s="14" t="str">
        <f t="shared" si="2"/>
        <v>53550</v>
      </c>
      <c r="F11" s="12">
        <v>1.32</v>
      </c>
      <c r="G11" s="13">
        <v>15640.0</v>
      </c>
      <c r="H11" s="13">
        <v>4300.0</v>
      </c>
      <c r="I11" s="14" t="str">
        <f t="shared" si="3"/>
        <v>997</v>
      </c>
      <c r="J11" s="14" t="str">
        <f t="shared" si="4"/>
        <v>27637</v>
      </c>
      <c r="K11" s="14" t="str">
        <f t="shared" si="5"/>
        <v>48574</v>
      </c>
      <c r="L11" s="14" t="str">
        <f t="shared" si="6"/>
        <v>4976</v>
      </c>
      <c r="M11" s="15"/>
    </row>
    <row r="12">
      <c r="A12" s="16">
        <v>42614.0</v>
      </c>
      <c r="B12" s="12">
        <v>0.02</v>
      </c>
      <c r="C12" s="13">
        <v>54100.0</v>
      </c>
      <c r="D12" s="14" t="str">
        <f t="shared" si="1"/>
        <v>1082</v>
      </c>
      <c r="E12" s="14" t="str">
        <f t="shared" si="2"/>
        <v>55182</v>
      </c>
      <c r="F12" s="12">
        <v>1.32</v>
      </c>
      <c r="G12" s="13">
        <v>16240.0</v>
      </c>
      <c r="H12" s="13">
        <v>4300.0</v>
      </c>
      <c r="I12" s="14" t="str">
        <f t="shared" si="3"/>
        <v>1027</v>
      </c>
      <c r="J12" s="14" t="str">
        <f t="shared" si="4"/>
        <v>28468</v>
      </c>
      <c r="K12" s="14" t="str">
        <f t="shared" si="5"/>
        <v>50035</v>
      </c>
      <c r="L12" s="14" t="str">
        <f t="shared" si="6"/>
        <v>5147</v>
      </c>
      <c r="M12" s="15"/>
    </row>
    <row r="13">
      <c r="A13" s="11">
        <v>42644.0</v>
      </c>
      <c r="B13" s="12">
        <v>0.02</v>
      </c>
      <c r="C13" s="13">
        <v>54100.0</v>
      </c>
      <c r="D13" s="14" t="str">
        <f t="shared" si="1"/>
        <v>1082</v>
      </c>
      <c r="E13" s="14" t="str">
        <f t="shared" si="2"/>
        <v>55182</v>
      </c>
      <c r="F13" s="12">
        <v>1.32</v>
      </c>
      <c r="G13" s="13">
        <v>16240.0</v>
      </c>
      <c r="H13" s="13">
        <v>4300.0</v>
      </c>
      <c r="I13" s="14" t="str">
        <f t="shared" si="3"/>
        <v>1027</v>
      </c>
      <c r="J13" s="14" t="str">
        <f t="shared" si="4"/>
        <v>28468</v>
      </c>
      <c r="K13" s="14" t="str">
        <f t="shared" si="5"/>
        <v>50035</v>
      </c>
      <c r="L13" s="14" t="str">
        <f t="shared" si="6"/>
        <v>5147</v>
      </c>
      <c r="M13" s="15"/>
    </row>
    <row r="14">
      <c r="A14" s="11">
        <v>42675.0</v>
      </c>
      <c r="B14" s="12">
        <v>0.02</v>
      </c>
      <c r="C14" s="13">
        <v>54100.0</v>
      </c>
      <c r="D14" s="14" t="str">
        <f t="shared" si="1"/>
        <v>1082</v>
      </c>
      <c r="E14" s="14" t="str">
        <f t="shared" si="2"/>
        <v>55182</v>
      </c>
      <c r="F14" s="12">
        <v>1.32</v>
      </c>
      <c r="G14" s="13">
        <v>16240.0</v>
      </c>
      <c r="H14" s="13">
        <v>4300.0</v>
      </c>
      <c r="I14" s="14" t="str">
        <f t="shared" si="3"/>
        <v>1027</v>
      </c>
      <c r="J14" s="14" t="str">
        <f t="shared" si="4"/>
        <v>28468</v>
      </c>
      <c r="K14" s="14" t="str">
        <f t="shared" si="5"/>
        <v>50035</v>
      </c>
      <c r="L14" s="14" t="str">
        <f t="shared" si="6"/>
        <v>5147</v>
      </c>
      <c r="M14" s="15"/>
    </row>
    <row r="15">
      <c r="A15" s="11">
        <v>42705.0</v>
      </c>
      <c r="B15" s="12">
        <v>0.02</v>
      </c>
      <c r="C15" s="13">
        <v>54100.0</v>
      </c>
      <c r="D15" s="14" t="str">
        <f t="shared" si="1"/>
        <v>1082</v>
      </c>
      <c r="E15" s="14" t="str">
        <f t="shared" si="2"/>
        <v>55182</v>
      </c>
      <c r="F15" s="12">
        <v>1.32</v>
      </c>
      <c r="G15" s="13">
        <v>16240.0</v>
      </c>
      <c r="H15" s="13">
        <v>4300.0</v>
      </c>
      <c r="I15" s="14" t="str">
        <f t="shared" si="3"/>
        <v>1027</v>
      </c>
      <c r="J15" s="14" t="str">
        <f t="shared" si="4"/>
        <v>28468</v>
      </c>
      <c r="K15" s="14" t="str">
        <f t="shared" si="5"/>
        <v>50035</v>
      </c>
      <c r="L15" s="14" t="str">
        <f t="shared" si="6"/>
        <v>5147</v>
      </c>
      <c r="M15" s="15"/>
    </row>
    <row r="16">
      <c r="A16" s="11">
        <v>42736.0</v>
      </c>
      <c r="B16" s="12">
        <v>0.04</v>
      </c>
      <c r="C16" s="13">
        <v>54100.0</v>
      </c>
      <c r="D16" s="14" t="str">
        <f t="shared" si="1"/>
        <v>2164</v>
      </c>
      <c r="E16" s="14" t="str">
        <f t="shared" si="2"/>
        <v>56264</v>
      </c>
      <c r="F16" s="12">
        <v>1.36</v>
      </c>
      <c r="G16" s="13">
        <v>16240.0</v>
      </c>
      <c r="H16" s="13">
        <v>4300.0</v>
      </c>
      <c r="I16" s="14" t="str">
        <f t="shared" si="3"/>
        <v>1027</v>
      </c>
      <c r="J16" s="14" t="str">
        <f t="shared" si="4"/>
        <v>29331</v>
      </c>
      <c r="K16" s="14" t="str">
        <f t="shared" si="5"/>
        <v>50898</v>
      </c>
      <c r="L16" s="14" t="str">
        <f t="shared" si="6"/>
        <v>5366</v>
      </c>
      <c r="M16" s="15"/>
    </row>
    <row r="17">
      <c r="A17" s="11">
        <v>42767.0</v>
      </c>
      <c r="B17" s="12">
        <v>0.04</v>
      </c>
      <c r="C17" s="13">
        <v>54100.0</v>
      </c>
      <c r="D17" s="14" t="str">
        <f t="shared" si="1"/>
        <v>2164</v>
      </c>
      <c r="E17" s="14" t="str">
        <f t="shared" si="2"/>
        <v>56264</v>
      </c>
      <c r="F17" s="12">
        <v>1.36</v>
      </c>
      <c r="G17" s="13">
        <v>16240.0</v>
      </c>
      <c r="H17" s="13">
        <v>4300.0</v>
      </c>
      <c r="I17" s="14" t="str">
        <f t="shared" si="3"/>
        <v>1027</v>
      </c>
      <c r="J17" s="14" t="str">
        <f t="shared" si="4"/>
        <v>29331</v>
      </c>
      <c r="K17" s="14" t="str">
        <f t="shared" si="5"/>
        <v>50898</v>
      </c>
      <c r="L17" s="14" t="str">
        <f t="shared" si="6"/>
        <v>5366</v>
      </c>
      <c r="M17" s="15"/>
    </row>
    <row r="18">
      <c r="A18" s="11">
        <v>42795.0</v>
      </c>
      <c r="B18" s="12">
        <v>0.04</v>
      </c>
      <c r="C18" s="13">
        <v>54100.0</v>
      </c>
      <c r="D18" s="14" t="str">
        <f t="shared" si="1"/>
        <v>2164</v>
      </c>
      <c r="E18" s="14" t="str">
        <f t="shared" si="2"/>
        <v>56264</v>
      </c>
      <c r="F18" s="12">
        <v>1.36</v>
      </c>
      <c r="G18" s="13">
        <v>16240.0</v>
      </c>
      <c r="H18" s="13">
        <v>4300.0</v>
      </c>
      <c r="I18" s="14" t="str">
        <f t="shared" si="3"/>
        <v>1027</v>
      </c>
      <c r="J18" s="14" t="str">
        <f t="shared" si="4"/>
        <v>29331</v>
      </c>
      <c r="K18" s="14" t="str">
        <f t="shared" si="5"/>
        <v>50898</v>
      </c>
      <c r="L18" s="14" t="str">
        <f t="shared" si="6"/>
        <v>5366</v>
      </c>
      <c r="M18" s="15"/>
    </row>
    <row r="19">
      <c r="A19" s="11">
        <v>42826.0</v>
      </c>
      <c r="B19" s="12">
        <v>0.04</v>
      </c>
      <c r="C19" s="13">
        <v>54100.0</v>
      </c>
      <c r="D19" s="14" t="str">
        <f t="shared" si="1"/>
        <v>2164</v>
      </c>
      <c r="E19" s="14" t="str">
        <f t="shared" si="2"/>
        <v>56264</v>
      </c>
      <c r="F19" s="12">
        <v>1.36</v>
      </c>
      <c r="G19" s="13">
        <v>16240.0</v>
      </c>
      <c r="H19" s="13">
        <v>4300.0</v>
      </c>
      <c r="I19" s="14" t="str">
        <f t="shared" si="3"/>
        <v>1027</v>
      </c>
      <c r="J19" s="14" t="str">
        <f t="shared" si="4"/>
        <v>29331</v>
      </c>
      <c r="K19" s="14" t="str">
        <f t="shared" si="5"/>
        <v>50898</v>
      </c>
      <c r="L19" s="14" t="str">
        <f t="shared" si="6"/>
        <v>5366</v>
      </c>
      <c r="M19" s="15"/>
    </row>
    <row r="20">
      <c r="A20" s="11">
        <v>42856.0</v>
      </c>
      <c r="B20" s="12">
        <v>0.04</v>
      </c>
      <c r="C20" s="13">
        <v>54100.0</v>
      </c>
      <c r="D20" s="14" t="str">
        <f t="shared" si="1"/>
        <v>2164</v>
      </c>
      <c r="E20" s="14" t="str">
        <f t="shared" si="2"/>
        <v>56264</v>
      </c>
      <c r="F20" s="12">
        <v>1.36</v>
      </c>
      <c r="G20" s="13">
        <v>16240.0</v>
      </c>
      <c r="H20" s="13">
        <v>4300.0</v>
      </c>
      <c r="I20" s="14" t="str">
        <f t="shared" si="3"/>
        <v>1027</v>
      </c>
      <c r="J20" s="14" t="str">
        <f t="shared" si="4"/>
        <v>29331</v>
      </c>
      <c r="K20" s="14" t="str">
        <f t="shared" si="5"/>
        <v>50898</v>
      </c>
      <c r="L20" s="14" t="str">
        <f t="shared" si="6"/>
        <v>5366</v>
      </c>
      <c r="M20" s="15"/>
    </row>
    <row r="21" ht="15.75" customHeight="1">
      <c r="A21" s="11">
        <v>42887.0</v>
      </c>
      <c r="B21" s="12">
        <v>0.04</v>
      </c>
      <c r="C21" s="13">
        <v>54100.0</v>
      </c>
      <c r="D21" s="14" t="str">
        <f t="shared" si="1"/>
        <v>2164</v>
      </c>
      <c r="E21" s="14" t="str">
        <f t="shared" si="2"/>
        <v>56264</v>
      </c>
      <c r="F21" s="12">
        <v>1.36</v>
      </c>
      <c r="G21" s="13">
        <v>16240.0</v>
      </c>
      <c r="H21" s="13">
        <v>4300.0</v>
      </c>
      <c r="I21" s="14" t="str">
        <f t="shared" si="3"/>
        <v>1027</v>
      </c>
      <c r="J21" s="14" t="str">
        <f t="shared" si="4"/>
        <v>29331</v>
      </c>
      <c r="K21" s="14" t="str">
        <f t="shared" si="5"/>
        <v>50898</v>
      </c>
      <c r="L21" s="14" t="str">
        <f t="shared" si="6"/>
        <v>5366</v>
      </c>
      <c r="M21" s="15"/>
    </row>
    <row r="22" ht="15.75" customHeight="1">
      <c r="A22" s="11">
        <v>42917.0</v>
      </c>
      <c r="B22" s="12">
        <v>0.05</v>
      </c>
      <c r="C22" s="13">
        <v>54100.0</v>
      </c>
      <c r="D22" s="14" t="str">
        <f t="shared" si="1"/>
        <v>2705</v>
      </c>
      <c r="E22" s="14" t="str">
        <f t="shared" si="2"/>
        <v>56805</v>
      </c>
      <c r="F22" s="12">
        <v>1.39</v>
      </c>
      <c r="G22" s="13">
        <v>16240.0</v>
      </c>
      <c r="H22" s="13">
        <v>4300.0</v>
      </c>
      <c r="I22" s="14" t="str">
        <f t="shared" si="3"/>
        <v>1027</v>
      </c>
      <c r="J22" s="14" t="str">
        <f t="shared" si="4"/>
        <v>29978</v>
      </c>
      <c r="K22" s="14" t="str">
        <f t="shared" si="5"/>
        <v>51545</v>
      </c>
      <c r="L22" s="14" t="str">
        <f t="shared" si="6"/>
        <v>5260</v>
      </c>
      <c r="M22" s="15"/>
    </row>
    <row r="23" ht="15.75" customHeight="1">
      <c r="A23" s="11">
        <v>42948.0</v>
      </c>
      <c r="B23" s="12">
        <v>0.05</v>
      </c>
      <c r="C23" s="13">
        <v>54100.0</v>
      </c>
      <c r="D23" s="14" t="str">
        <f t="shared" si="1"/>
        <v>2705</v>
      </c>
      <c r="E23" s="14" t="str">
        <f t="shared" si="2"/>
        <v>56805</v>
      </c>
      <c r="F23" s="12">
        <v>1.39</v>
      </c>
      <c r="G23" s="13">
        <v>16240.0</v>
      </c>
      <c r="H23" s="13">
        <v>4300.0</v>
      </c>
      <c r="I23" s="14" t="str">
        <f t="shared" si="3"/>
        <v>1027</v>
      </c>
      <c r="J23" s="14" t="str">
        <f t="shared" si="4"/>
        <v>29978</v>
      </c>
      <c r="K23" s="14" t="str">
        <f t="shared" si="5"/>
        <v>51545</v>
      </c>
      <c r="L23" s="14" t="str">
        <f t="shared" si="6"/>
        <v>5260</v>
      </c>
      <c r="M23" s="15"/>
    </row>
    <row r="24" ht="15.75" customHeight="1">
      <c r="A24" s="16">
        <v>42979.0</v>
      </c>
      <c r="B24" s="12">
        <v>0.05</v>
      </c>
      <c r="C24" s="13">
        <v>55700.0</v>
      </c>
      <c r="D24" s="14" t="str">
        <f t="shared" si="1"/>
        <v>2785</v>
      </c>
      <c r="E24" s="14" t="str">
        <f t="shared" si="2"/>
        <v>58485</v>
      </c>
      <c r="F24" s="12">
        <v>1.39</v>
      </c>
      <c r="G24" s="13">
        <v>16860.0</v>
      </c>
      <c r="H24" s="13">
        <v>4300.0</v>
      </c>
      <c r="I24" s="14" t="str">
        <f t="shared" si="3"/>
        <v>1058</v>
      </c>
      <c r="J24" s="14" t="str">
        <f t="shared" si="4"/>
        <v>30883</v>
      </c>
      <c r="K24" s="14" t="str">
        <f t="shared" si="5"/>
        <v>53101</v>
      </c>
      <c r="L24" s="14" t="str">
        <f t="shared" si="6"/>
        <v>5384</v>
      </c>
      <c r="M24" s="15"/>
    </row>
    <row r="25" ht="15.75" customHeight="1">
      <c r="A25" s="11">
        <v>43009.0</v>
      </c>
      <c r="B25" s="12">
        <v>0.05</v>
      </c>
      <c r="C25" s="13">
        <v>55700.0</v>
      </c>
      <c r="D25" s="14" t="str">
        <f t="shared" si="1"/>
        <v>2785</v>
      </c>
      <c r="E25" s="14" t="str">
        <f t="shared" si="2"/>
        <v>58485</v>
      </c>
      <c r="F25" s="12">
        <v>1.39</v>
      </c>
      <c r="G25" s="13">
        <v>16860.0</v>
      </c>
      <c r="H25" s="13">
        <v>4300.0</v>
      </c>
      <c r="I25" s="14" t="str">
        <f t="shared" si="3"/>
        <v>1058</v>
      </c>
      <c r="J25" s="14" t="str">
        <f t="shared" si="4"/>
        <v>30883</v>
      </c>
      <c r="K25" s="14" t="str">
        <f t="shared" si="5"/>
        <v>53101</v>
      </c>
      <c r="L25" s="14" t="str">
        <f t="shared" si="6"/>
        <v>5384</v>
      </c>
      <c r="M25" s="15"/>
    </row>
    <row r="26" ht="15.75" customHeight="1">
      <c r="A26" s="11">
        <v>43009.0</v>
      </c>
      <c r="B26" s="12">
        <v>0.05</v>
      </c>
      <c r="C26" s="13">
        <v>55700.0</v>
      </c>
      <c r="D26" s="14" t="str">
        <f t="shared" si="1"/>
        <v>2785</v>
      </c>
      <c r="E26" s="14" t="str">
        <f t="shared" si="2"/>
        <v>58485</v>
      </c>
      <c r="F26" s="12">
        <v>1.39</v>
      </c>
      <c r="G26" s="13">
        <v>16860.0</v>
      </c>
      <c r="H26" s="13">
        <v>4300.0</v>
      </c>
      <c r="I26" s="14" t="str">
        <f t="shared" si="3"/>
        <v>1058</v>
      </c>
      <c r="J26" s="14" t="str">
        <f t="shared" si="4"/>
        <v>30883</v>
      </c>
      <c r="K26" s="14" t="str">
        <f t="shared" si="5"/>
        <v>53101</v>
      </c>
      <c r="L26" s="14" t="str">
        <f t="shared" si="6"/>
        <v>5384</v>
      </c>
      <c r="M26" s="15"/>
    </row>
    <row r="27" ht="15.75" customHeight="1">
      <c r="A27" s="11">
        <v>43070.0</v>
      </c>
      <c r="B27" s="12">
        <v>0.05</v>
      </c>
      <c r="C27" s="13">
        <v>55700.0</v>
      </c>
      <c r="D27" s="14" t="str">
        <f t="shared" si="1"/>
        <v>2785</v>
      </c>
      <c r="E27" s="14" t="str">
        <f t="shared" si="2"/>
        <v>58485</v>
      </c>
      <c r="F27" s="12">
        <v>1.39</v>
      </c>
      <c r="G27" s="13">
        <v>16860.0</v>
      </c>
      <c r="H27" s="13">
        <v>4300.0</v>
      </c>
      <c r="I27" s="14" t="str">
        <f t="shared" si="3"/>
        <v>1058</v>
      </c>
      <c r="J27" s="14" t="str">
        <f t="shared" si="4"/>
        <v>30883</v>
      </c>
      <c r="K27" s="14" t="str">
        <f t="shared" si="5"/>
        <v>53101</v>
      </c>
      <c r="L27" s="14" t="str">
        <f t="shared" si="6"/>
        <v>5384</v>
      </c>
      <c r="M27" s="15"/>
    </row>
    <row r="28" ht="15.75" customHeight="1">
      <c r="A28" s="11">
        <v>43101.0</v>
      </c>
      <c r="B28" s="12">
        <v>0.07</v>
      </c>
      <c r="C28" s="13">
        <v>55700.0</v>
      </c>
      <c r="D28" s="14" t="str">
        <f t="shared" si="1"/>
        <v>3899</v>
      </c>
      <c r="E28" s="14" t="str">
        <f t="shared" si="2"/>
        <v>59599</v>
      </c>
      <c r="F28" s="12">
        <v>1.42</v>
      </c>
      <c r="G28" s="13">
        <v>16860.0</v>
      </c>
      <c r="H28" s="13">
        <v>4300.0</v>
      </c>
      <c r="I28" s="14" t="str">
        <f t="shared" si="3"/>
        <v>1058</v>
      </c>
      <c r="J28" s="14" t="str">
        <f t="shared" si="4"/>
        <v>31550</v>
      </c>
      <c r="K28" s="14" t="str">
        <f t="shared" si="5"/>
        <v>53768</v>
      </c>
      <c r="L28" s="14" t="str">
        <f t="shared" si="6"/>
        <v>5831</v>
      </c>
      <c r="M28" s="15"/>
    </row>
    <row r="29" ht="15.75" customHeight="1">
      <c r="A29" s="11">
        <v>43132.0</v>
      </c>
      <c r="B29" s="12">
        <v>0.07</v>
      </c>
      <c r="C29" s="13">
        <v>55700.0</v>
      </c>
      <c r="D29" s="14" t="str">
        <f t="shared" si="1"/>
        <v>3899</v>
      </c>
      <c r="E29" s="14" t="str">
        <f t="shared" si="2"/>
        <v>59599</v>
      </c>
      <c r="F29" s="12">
        <v>1.42</v>
      </c>
      <c r="G29" s="13">
        <v>16860.0</v>
      </c>
      <c r="H29" s="13">
        <v>4300.0</v>
      </c>
      <c r="I29" s="14" t="str">
        <f t="shared" si="3"/>
        <v>1058</v>
      </c>
      <c r="J29" s="14" t="str">
        <f t="shared" si="4"/>
        <v>31550</v>
      </c>
      <c r="K29" s="14" t="str">
        <f t="shared" si="5"/>
        <v>53768</v>
      </c>
      <c r="L29" s="14" t="str">
        <f t="shared" si="6"/>
        <v>5831</v>
      </c>
      <c r="M29" s="15"/>
    </row>
    <row r="30" ht="15.75" customHeight="1">
      <c r="A30" s="11">
        <v>43160.0</v>
      </c>
      <c r="B30" s="12">
        <v>0.07</v>
      </c>
      <c r="C30" s="13">
        <v>55700.0</v>
      </c>
      <c r="D30" s="14" t="str">
        <f t="shared" si="1"/>
        <v>3899</v>
      </c>
      <c r="E30" s="14" t="str">
        <f t="shared" si="2"/>
        <v>59599</v>
      </c>
      <c r="F30" s="12">
        <v>1.42</v>
      </c>
      <c r="G30" s="13">
        <v>16860.0</v>
      </c>
      <c r="H30" s="13">
        <v>4300.0</v>
      </c>
      <c r="I30" s="14" t="str">
        <f t="shared" si="3"/>
        <v>1058</v>
      </c>
      <c r="J30" s="14" t="str">
        <f t="shared" si="4"/>
        <v>31550</v>
      </c>
      <c r="K30" s="14" t="str">
        <f t="shared" si="5"/>
        <v>53768</v>
      </c>
      <c r="L30" s="14" t="str">
        <f t="shared" si="6"/>
        <v>5831</v>
      </c>
      <c r="M30" s="15"/>
    </row>
    <row r="31" ht="15.75" customHeight="1">
      <c r="A31" s="11">
        <v>43191.0</v>
      </c>
      <c r="B31" s="12">
        <v>0.07</v>
      </c>
      <c r="C31" s="13">
        <v>55700.0</v>
      </c>
      <c r="D31" s="14" t="str">
        <f t="shared" si="1"/>
        <v>3899</v>
      </c>
      <c r="E31" s="14" t="str">
        <f t="shared" si="2"/>
        <v>59599</v>
      </c>
      <c r="F31" s="12">
        <v>1.42</v>
      </c>
      <c r="G31" s="13">
        <v>16860.0</v>
      </c>
      <c r="H31" s="13">
        <v>4300.0</v>
      </c>
      <c r="I31" s="14" t="str">
        <f t="shared" si="3"/>
        <v>1058</v>
      </c>
      <c r="J31" s="14" t="str">
        <f t="shared" si="4"/>
        <v>31550</v>
      </c>
      <c r="K31" s="14" t="str">
        <f t="shared" si="5"/>
        <v>53768</v>
      </c>
      <c r="L31" s="14" t="str">
        <f t="shared" si="6"/>
        <v>5831</v>
      </c>
      <c r="M31" s="15"/>
    </row>
    <row r="32" ht="15.75" customHeight="1">
      <c r="A32" s="11">
        <v>43221.0</v>
      </c>
      <c r="B32" s="12">
        <v>0.07</v>
      </c>
      <c r="C32" s="13">
        <v>55700.0</v>
      </c>
      <c r="D32" s="14" t="str">
        <f t="shared" si="1"/>
        <v>3899</v>
      </c>
      <c r="E32" s="14" t="str">
        <f t="shared" si="2"/>
        <v>59599</v>
      </c>
      <c r="F32" s="12">
        <v>1.42</v>
      </c>
      <c r="G32" s="13">
        <v>16860.0</v>
      </c>
      <c r="H32" s="13">
        <v>4300.0</v>
      </c>
      <c r="I32" s="14" t="str">
        <f t="shared" si="3"/>
        <v>1058</v>
      </c>
      <c r="J32" s="14" t="str">
        <f t="shared" si="4"/>
        <v>31550</v>
      </c>
      <c r="K32" s="14" t="str">
        <f t="shared" si="5"/>
        <v>53768</v>
      </c>
      <c r="L32" s="14" t="str">
        <f t="shared" si="6"/>
        <v>5831</v>
      </c>
      <c r="M32" s="15"/>
    </row>
    <row r="33" ht="15.75" customHeight="1">
      <c r="A33" s="11">
        <v>43252.0</v>
      </c>
      <c r="B33" s="12">
        <v>0.07</v>
      </c>
      <c r="C33" s="13">
        <v>55700.0</v>
      </c>
      <c r="D33" s="14" t="str">
        <f t="shared" si="1"/>
        <v>3899</v>
      </c>
      <c r="E33" s="14" t="str">
        <f t="shared" si="2"/>
        <v>59599</v>
      </c>
      <c r="F33" s="12">
        <v>1.42</v>
      </c>
      <c r="G33" s="13">
        <v>16860.0</v>
      </c>
      <c r="H33" s="13">
        <v>4300.0</v>
      </c>
      <c r="I33" s="14" t="str">
        <f t="shared" si="3"/>
        <v>1058</v>
      </c>
      <c r="J33" s="14" t="str">
        <f t="shared" si="4"/>
        <v>31550</v>
      </c>
      <c r="K33" s="14" t="str">
        <f t="shared" si="5"/>
        <v>53768</v>
      </c>
      <c r="L33" s="14" t="str">
        <f t="shared" si="6"/>
        <v>5831</v>
      </c>
      <c r="M33" s="15"/>
    </row>
    <row r="34" ht="15.75" customHeight="1">
      <c r="A34" s="11">
        <v>43282.0</v>
      </c>
      <c r="B34" s="12">
        <v>0.09</v>
      </c>
      <c r="C34" s="13">
        <v>55700.0</v>
      </c>
      <c r="D34" s="14" t="str">
        <f t="shared" si="1"/>
        <v>5013</v>
      </c>
      <c r="E34" s="14" t="str">
        <f t="shared" si="2"/>
        <v>60713</v>
      </c>
      <c r="F34" s="12">
        <v>1.48</v>
      </c>
      <c r="G34" s="13">
        <v>16860.0</v>
      </c>
      <c r="H34" s="13">
        <v>4300.0</v>
      </c>
      <c r="I34" s="14" t="str">
        <f t="shared" si="3"/>
        <v>1058</v>
      </c>
      <c r="J34" s="14" t="str">
        <f t="shared" si="4"/>
        <v>32883</v>
      </c>
      <c r="K34" s="14" t="str">
        <f t="shared" si="5"/>
        <v>55101</v>
      </c>
      <c r="L34" s="14" t="str">
        <f t="shared" si="6"/>
        <v>5612</v>
      </c>
      <c r="M34" s="15"/>
    </row>
    <row r="35" ht="15.75" customHeight="1">
      <c r="A35" s="11">
        <v>43313.0</v>
      </c>
      <c r="B35" s="12">
        <v>0.09</v>
      </c>
      <c r="C35" s="13">
        <v>55700.0</v>
      </c>
      <c r="D35" s="14" t="str">
        <f t="shared" si="1"/>
        <v>5013</v>
      </c>
      <c r="E35" s="14" t="str">
        <f t="shared" si="2"/>
        <v>60713</v>
      </c>
      <c r="F35" s="12">
        <v>1.48</v>
      </c>
      <c r="G35" s="13">
        <v>16860.0</v>
      </c>
      <c r="H35" s="13">
        <v>4300.0</v>
      </c>
      <c r="I35" s="14" t="str">
        <f t="shared" si="3"/>
        <v>1058</v>
      </c>
      <c r="J35" s="14" t="str">
        <f t="shared" si="4"/>
        <v>32883</v>
      </c>
      <c r="K35" s="14" t="str">
        <f t="shared" si="5"/>
        <v>55101</v>
      </c>
      <c r="L35" s="14" t="str">
        <f t="shared" si="6"/>
        <v>5612</v>
      </c>
      <c r="M35" s="15"/>
    </row>
    <row r="36" ht="15.75" customHeight="1">
      <c r="A36" s="16" t="s">
        <v>11</v>
      </c>
      <c r="B36" s="12">
        <v>0.09</v>
      </c>
      <c r="C36" s="13">
        <v>13393.0</v>
      </c>
      <c r="D36" s="14" t="str">
        <f t="shared" si="1"/>
        <v>1205</v>
      </c>
      <c r="E36" s="14" t="str">
        <f t="shared" si="2"/>
        <v>14598</v>
      </c>
      <c r="F36" s="12">
        <v>1.48</v>
      </c>
      <c r="G36" s="13">
        <v>4083.0</v>
      </c>
      <c r="H36" s="13">
        <v>1003.0</v>
      </c>
      <c r="I36" s="14" t="str">
        <f t="shared" si="3"/>
        <v>254</v>
      </c>
      <c r="J36" s="14" t="str">
        <f t="shared" si="4"/>
        <v>7903</v>
      </c>
      <c r="K36" s="14" t="str">
        <f t="shared" si="5"/>
        <v>13243</v>
      </c>
      <c r="L36" s="14" t="str">
        <f t="shared" si="6"/>
        <v>1355</v>
      </c>
      <c r="M36" s="15"/>
    </row>
    <row r="37" ht="15.75" customHeight="1">
      <c r="A37" s="16" t="s">
        <v>12</v>
      </c>
      <c r="B37" s="12">
        <v>0.09</v>
      </c>
      <c r="C37" s="13">
        <v>45310.0</v>
      </c>
      <c r="D37" s="14" t="str">
        <f t="shared" si="1"/>
        <v>4078</v>
      </c>
      <c r="E37" s="14" t="str">
        <f t="shared" si="2"/>
        <v>49388</v>
      </c>
      <c r="F37" s="12">
        <v>1.48</v>
      </c>
      <c r="G37" s="13">
        <v>13923.0</v>
      </c>
      <c r="H37" s="13">
        <v>3297.0</v>
      </c>
      <c r="I37" s="14" t="str">
        <f t="shared" si="3"/>
        <v>861</v>
      </c>
      <c r="J37" s="14" t="str">
        <f t="shared" si="4"/>
        <v>26760</v>
      </c>
      <c r="K37" s="14" t="str">
        <f t="shared" si="5"/>
        <v>44841</v>
      </c>
      <c r="L37" s="14" t="str">
        <f t="shared" si="6"/>
        <v>4547</v>
      </c>
      <c r="M37" s="15"/>
    </row>
    <row r="38" ht="15.75" customHeight="1">
      <c r="A38" s="11">
        <v>43374.0</v>
      </c>
      <c r="B38" s="12">
        <v>0.09</v>
      </c>
      <c r="C38" s="13">
        <v>59100.0</v>
      </c>
      <c r="D38" s="14" t="str">
        <f t="shared" si="1"/>
        <v>5319</v>
      </c>
      <c r="E38" s="14" t="str">
        <f t="shared" si="2"/>
        <v>64419</v>
      </c>
      <c r="F38" s="12">
        <v>1.48</v>
      </c>
      <c r="G38" s="13">
        <v>18160.0</v>
      </c>
      <c r="H38" s="13">
        <v>4300.0</v>
      </c>
      <c r="I38" s="14" t="str">
        <f t="shared" si="3"/>
        <v>1123</v>
      </c>
      <c r="J38" s="14" t="str">
        <f t="shared" si="4"/>
        <v>34903</v>
      </c>
      <c r="K38" s="14" t="str">
        <f t="shared" si="5"/>
        <v>58486</v>
      </c>
      <c r="L38" s="14" t="str">
        <f t="shared" si="6"/>
        <v>5933</v>
      </c>
      <c r="M38" s="15"/>
    </row>
    <row r="39" ht="15.75" customHeight="1">
      <c r="A39" s="11">
        <v>43405.0</v>
      </c>
      <c r="B39" s="12">
        <v>0.09</v>
      </c>
      <c r="C39" s="13">
        <v>59100.0</v>
      </c>
      <c r="D39" s="14" t="str">
        <f t="shared" si="1"/>
        <v>5319</v>
      </c>
      <c r="E39" s="14" t="str">
        <f t="shared" si="2"/>
        <v>64419</v>
      </c>
      <c r="F39" s="12">
        <v>1.48</v>
      </c>
      <c r="G39" s="13">
        <v>18160.0</v>
      </c>
      <c r="H39" s="13">
        <v>4300.0</v>
      </c>
      <c r="I39" s="14" t="str">
        <f t="shared" si="3"/>
        <v>1123</v>
      </c>
      <c r="J39" s="14" t="str">
        <f t="shared" si="4"/>
        <v>34903</v>
      </c>
      <c r="K39" s="14" t="str">
        <f t="shared" si="5"/>
        <v>58486</v>
      </c>
      <c r="L39" s="14" t="str">
        <f t="shared" si="6"/>
        <v>5933</v>
      </c>
      <c r="M39" s="15"/>
    </row>
    <row r="40" ht="15.75" customHeight="1">
      <c r="A40" s="11">
        <v>43435.0</v>
      </c>
      <c r="B40" s="12">
        <v>0.09</v>
      </c>
      <c r="C40" s="13">
        <v>59100.0</v>
      </c>
      <c r="D40" s="14" t="str">
        <f t="shared" si="1"/>
        <v>5319</v>
      </c>
      <c r="E40" s="14" t="str">
        <f t="shared" si="2"/>
        <v>64419</v>
      </c>
      <c r="F40" s="12">
        <v>1.48</v>
      </c>
      <c r="G40" s="13">
        <v>18160.0</v>
      </c>
      <c r="H40" s="13">
        <v>4300.0</v>
      </c>
      <c r="I40" s="14" t="str">
        <f t="shared" si="3"/>
        <v>1123</v>
      </c>
      <c r="J40" s="14" t="str">
        <f t="shared" si="4"/>
        <v>34903</v>
      </c>
      <c r="K40" s="14" t="str">
        <f t="shared" si="5"/>
        <v>58486</v>
      </c>
      <c r="L40" s="14" t="str">
        <f t="shared" si="6"/>
        <v>5933</v>
      </c>
      <c r="M40" s="17"/>
    </row>
    <row r="41" ht="15.75" customHeight="1">
      <c r="A41" s="11">
        <v>43466.0</v>
      </c>
      <c r="B41" s="18">
        <v>0.12</v>
      </c>
      <c r="C41" s="13">
        <v>59100.0</v>
      </c>
      <c r="D41" s="14" t="str">
        <f t="shared" si="1"/>
        <v>7092</v>
      </c>
      <c r="E41" s="14" t="str">
        <f t="shared" si="2"/>
        <v>66192</v>
      </c>
      <c r="F41" s="18">
        <v>1.54</v>
      </c>
      <c r="G41" s="13">
        <v>18160.0</v>
      </c>
      <c r="H41" s="13">
        <v>4300.0</v>
      </c>
      <c r="I41" s="14" t="str">
        <f t="shared" si="3"/>
        <v>1123</v>
      </c>
      <c r="J41" s="14" t="str">
        <f t="shared" si="4"/>
        <v>36318</v>
      </c>
      <c r="K41" s="14" t="str">
        <f t="shared" si="5"/>
        <v>59901</v>
      </c>
      <c r="L41" s="14" t="str">
        <f t="shared" si="6"/>
        <v>6291</v>
      </c>
      <c r="M41" s="17"/>
    </row>
    <row r="42" ht="15.75" customHeight="1">
      <c r="A42" s="11" t="s">
        <v>13</v>
      </c>
      <c r="B42" s="18">
        <v>0.12</v>
      </c>
      <c r="C42" s="17">
        <v>42214.0</v>
      </c>
      <c r="D42" s="14" t="str">
        <f t="shared" si="1"/>
        <v>5066</v>
      </c>
      <c r="E42" s="14" t="str">
        <f t="shared" si="2"/>
        <v>47280</v>
      </c>
      <c r="F42" s="18">
        <v>1.54</v>
      </c>
      <c r="G42" s="13">
        <v>12971.0</v>
      </c>
      <c r="H42" s="19">
        <v>3071.0</v>
      </c>
      <c r="I42" s="14" t="str">
        <f t="shared" si="3"/>
        <v>802</v>
      </c>
      <c r="J42" s="14" t="str">
        <f t="shared" si="4"/>
        <v>25940</v>
      </c>
      <c r="K42" s="14" t="str">
        <f t="shared" si="5"/>
        <v>42784</v>
      </c>
      <c r="L42" s="14" t="str">
        <f t="shared" si="6"/>
        <v>4496</v>
      </c>
      <c r="M42" s="17"/>
    </row>
    <row r="43" ht="15.75" customHeight="1">
      <c r="A43" s="20" t="s">
        <v>14</v>
      </c>
      <c r="B43" s="18">
        <v>0.12</v>
      </c>
      <c r="C43" s="21">
        <v>17314.0</v>
      </c>
      <c r="D43" s="14" t="str">
        <f t="shared" si="1"/>
        <v>2078</v>
      </c>
      <c r="E43" s="22" t="str">
        <f t="shared" si="2"/>
        <v>19392</v>
      </c>
      <c r="F43" s="18">
        <v>1.54</v>
      </c>
      <c r="G43" s="23">
        <v>5189.0</v>
      </c>
      <c r="H43" s="24">
        <v>1343.0</v>
      </c>
      <c r="I43" s="22" t="str">
        <f t="shared" si="3"/>
        <v>327</v>
      </c>
      <c r="J43" s="14" t="str">
        <f t="shared" si="4"/>
        <v>10563</v>
      </c>
      <c r="K43" s="22" t="str">
        <f t="shared" si="5"/>
        <v>17422</v>
      </c>
      <c r="L43" s="22" t="str">
        <f t="shared" si="6"/>
        <v>1970</v>
      </c>
      <c r="M43" s="21"/>
    </row>
    <row r="44" ht="15.75" customHeight="1">
      <c r="A44" s="11">
        <v>43525.0</v>
      </c>
      <c r="B44" s="18">
        <v>0.12</v>
      </c>
      <c r="C44" s="13">
        <v>60600.0</v>
      </c>
      <c r="D44" s="14" t="str">
        <f t="shared" si="1"/>
        <v>7272</v>
      </c>
      <c r="E44" s="14" t="str">
        <f t="shared" si="2"/>
        <v>67872</v>
      </c>
      <c r="F44" s="18">
        <v>1.54</v>
      </c>
      <c r="G44" s="13">
        <v>18160.0</v>
      </c>
      <c r="H44" s="19">
        <v>4700.0</v>
      </c>
      <c r="I44" s="14" t="str">
        <f t="shared" si="3"/>
        <v>1143</v>
      </c>
      <c r="J44" s="14" t="str">
        <f t="shared" si="4"/>
        <v>36965</v>
      </c>
      <c r="K44" s="14" t="str">
        <f t="shared" si="5"/>
        <v>60968</v>
      </c>
      <c r="L44" s="14" t="str">
        <f t="shared" si="6"/>
        <v>6904</v>
      </c>
      <c r="M44" s="17"/>
    </row>
    <row r="45" ht="15.75" customHeight="1">
      <c r="A45" s="11">
        <v>43556.0</v>
      </c>
      <c r="B45" s="18">
        <v>0.12</v>
      </c>
      <c r="C45" s="17">
        <v>60600.0</v>
      </c>
      <c r="D45" s="14" t="str">
        <f t="shared" si="1"/>
        <v>7272</v>
      </c>
      <c r="E45" s="14" t="str">
        <f t="shared" si="2"/>
        <v>67872</v>
      </c>
      <c r="F45" s="18">
        <v>1.54</v>
      </c>
      <c r="G45" s="13">
        <v>18160.0</v>
      </c>
      <c r="H45" s="19">
        <v>4700.0</v>
      </c>
      <c r="I45" s="14" t="str">
        <f t="shared" si="3"/>
        <v>1143</v>
      </c>
      <c r="J45" s="14" t="str">
        <f t="shared" si="4"/>
        <v>36965</v>
      </c>
      <c r="K45" s="14" t="str">
        <f t="shared" si="5"/>
        <v>60968</v>
      </c>
      <c r="L45" s="14" t="str">
        <f t="shared" si="6"/>
        <v>6904</v>
      </c>
      <c r="M45" s="17"/>
    </row>
    <row r="46" ht="15.75" customHeight="1">
      <c r="A46" s="11">
        <v>43586.0</v>
      </c>
      <c r="B46" s="18">
        <v>0.12</v>
      </c>
      <c r="C46" s="17">
        <v>60600.0</v>
      </c>
      <c r="D46" s="14" t="str">
        <f t="shared" si="1"/>
        <v>7272</v>
      </c>
      <c r="E46" s="14" t="str">
        <f t="shared" si="2"/>
        <v>67872</v>
      </c>
      <c r="F46" s="18">
        <v>1.54</v>
      </c>
      <c r="G46" s="13">
        <v>18160.0</v>
      </c>
      <c r="H46" s="19">
        <v>4700.0</v>
      </c>
      <c r="I46" s="14" t="str">
        <f t="shared" si="3"/>
        <v>1143</v>
      </c>
      <c r="J46" s="14" t="str">
        <f t="shared" si="4"/>
        <v>36965</v>
      </c>
      <c r="K46" s="14" t="str">
        <f t="shared" si="5"/>
        <v>60968</v>
      </c>
      <c r="L46" s="14" t="str">
        <f t="shared" si="6"/>
        <v>6904</v>
      </c>
      <c r="M46" s="17"/>
    </row>
    <row r="47" ht="15.75" customHeight="1">
      <c r="A47" s="11">
        <v>43617.0</v>
      </c>
      <c r="B47" s="18">
        <v>0.12</v>
      </c>
      <c r="C47" s="17">
        <v>60600.0</v>
      </c>
      <c r="D47" s="14" t="str">
        <f t="shared" si="1"/>
        <v>7272</v>
      </c>
      <c r="E47" s="14" t="str">
        <f t="shared" si="2"/>
        <v>67872</v>
      </c>
      <c r="F47" s="18">
        <v>1.54</v>
      </c>
      <c r="G47" s="13">
        <v>18160.0</v>
      </c>
      <c r="H47" s="19">
        <v>4700.0</v>
      </c>
      <c r="I47" s="14" t="str">
        <f t="shared" si="3"/>
        <v>1143</v>
      </c>
      <c r="J47" s="14" t="str">
        <f t="shared" si="4"/>
        <v>36965</v>
      </c>
      <c r="K47" s="14" t="str">
        <f t="shared" si="5"/>
        <v>60968</v>
      </c>
      <c r="L47" s="14" t="str">
        <f t="shared" si="6"/>
        <v>6904</v>
      </c>
      <c r="M47" s="17"/>
    </row>
    <row r="48" ht="15.75" customHeight="1">
      <c r="A48" s="11">
        <v>43647.0</v>
      </c>
      <c r="B48" s="18">
        <v>0.17</v>
      </c>
      <c r="C48" s="17">
        <v>60600.0</v>
      </c>
      <c r="D48" s="14" t="str">
        <f t="shared" si="1"/>
        <v>10302</v>
      </c>
      <c r="E48" s="14" t="str">
        <f t="shared" si="2"/>
        <v>70902</v>
      </c>
      <c r="F48" s="18">
        <v>1.64</v>
      </c>
      <c r="G48" s="13">
        <v>18160.0</v>
      </c>
      <c r="H48" s="19">
        <v>4700.0</v>
      </c>
      <c r="I48" s="14" t="str">
        <f t="shared" si="3"/>
        <v>1143</v>
      </c>
      <c r="J48" s="14" t="str">
        <f t="shared" si="4"/>
        <v>39365</v>
      </c>
      <c r="K48" s="14" t="str">
        <f t="shared" si="5"/>
        <v>63368</v>
      </c>
      <c r="L48" s="14" t="str">
        <f t="shared" si="6"/>
        <v>7534</v>
      </c>
      <c r="M48" s="17"/>
    </row>
    <row r="49" ht="15.75" customHeight="1">
      <c r="A49" s="11">
        <v>43678.0</v>
      </c>
      <c r="B49" s="18">
        <v>0.17</v>
      </c>
      <c r="C49" s="17">
        <v>60600.0</v>
      </c>
      <c r="D49" s="14" t="str">
        <f t="shared" si="1"/>
        <v>10302</v>
      </c>
      <c r="E49" s="14" t="str">
        <f t="shared" si="2"/>
        <v>70902</v>
      </c>
      <c r="F49" s="18">
        <v>1.64</v>
      </c>
      <c r="G49" s="13">
        <v>18160.0</v>
      </c>
      <c r="H49" s="19">
        <v>4700.0</v>
      </c>
      <c r="I49" s="14" t="str">
        <f t="shared" si="3"/>
        <v>1143</v>
      </c>
      <c r="J49" s="14" t="str">
        <f t="shared" si="4"/>
        <v>39365</v>
      </c>
      <c r="K49" s="14" t="str">
        <f t="shared" si="5"/>
        <v>63368</v>
      </c>
      <c r="L49" s="14" t="str">
        <f t="shared" si="6"/>
        <v>7534</v>
      </c>
      <c r="M49" s="17"/>
    </row>
    <row r="50" ht="15.75" customHeight="1">
      <c r="A50" s="16">
        <v>43709.0</v>
      </c>
      <c r="B50" s="18">
        <v>0.17</v>
      </c>
      <c r="C50" s="17">
        <v>64300.0</v>
      </c>
      <c r="D50" s="14" t="str">
        <f t="shared" si="1"/>
        <v>10931</v>
      </c>
      <c r="E50" s="14" t="str">
        <f t="shared" si="2"/>
        <v>75231</v>
      </c>
      <c r="F50" s="18">
        <v>1.64</v>
      </c>
      <c r="G50" s="13">
        <v>19540.0</v>
      </c>
      <c r="H50" s="19">
        <v>4700.0</v>
      </c>
      <c r="I50" s="14" t="str">
        <f t="shared" si="3"/>
        <v>1212</v>
      </c>
      <c r="J50" s="14" t="str">
        <f t="shared" si="4"/>
        <v>41741</v>
      </c>
      <c r="K50" s="14" t="str">
        <f t="shared" si="5"/>
        <v>67193</v>
      </c>
      <c r="L50" s="14" t="str">
        <f t="shared" si="6"/>
        <v>8038</v>
      </c>
      <c r="M50" s="17"/>
    </row>
    <row r="51" ht="15.75" customHeight="1">
      <c r="A51" s="11">
        <v>43739.0</v>
      </c>
      <c r="B51" s="18">
        <v>0.17</v>
      </c>
      <c r="C51" s="17">
        <v>64300.0</v>
      </c>
      <c r="D51" s="14" t="str">
        <f t="shared" si="1"/>
        <v>10931</v>
      </c>
      <c r="E51" s="14" t="str">
        <f t="shared" si="2"/>
        <v>75231</v>
      </c>
      <c r="F51" s="18">
        <v>1.64</v>
      </c>
      <c r="G51" s="13">
        <v>19540.0</v>
      </c>
      <c r="H51" s="19">
        <v>4700.0</v>
      </c>
      <c r="I51" s="14" t="str">
        <f t="shared" si="3"/>
        <v>1212</v>
      </c>
      <c r="J51" s="14" t="str">
        <f t="shared" si="4"/>
        <v>41741</v>
      </c>
      <c r="K51" s="14" t="str">
        <f t="shared" si="5"/>
        <v>67193</v>
      </c>
      <c r="L51" s="14" t="str">
        <f t="shared" si="6"/>
        <v>8038</v>
      </c>
      <c r="M51" s="17"/>
    </row>
    <row r="52" ht="15.75" customHeight="1">
      <c r="A52" s="11">
        <v>43770.0</v>
      </c>
      <c r="B52" s="18">
        <v>0.17</v>
      </c>
      <c r="C52" s="17">
        <v>64300.0</v>
      </c>
      <c r="D52" s="14" t="str">
        <f t="shared" si="1"/>
        <v>10931</v>
      </c>
      <c r="E52" s="14" t="str">
        <f t="shared" si="2"/>
        <v>75231</v>
      </c>
      <c r="F52" s="18">
        <v>1.64</v>
      </c>
      <c r="G52" s="13">
        <v>19540.0</v>
      </c>
      <c r="H52" s="19">
        <v>4700.0</v>
      </c>
      <c r="I52" s="14" t="str">
        <f t="shared" si="3"/>
        <v>1212</v>
      </c>
      <c r="J52" s="14" t="str">
        <f t="shared" si="4"/>
        <v>41741</v>
      </c>
      <c r="K52" s="14" t="str">
        <f t="shared" si="5"/>
        <v>67193</v>
      </c>
      <c r="L52" s="14" t="str">
        <f t="shared" si="6"/>
        <v>8038</v>
      </c>
      <c r="M52" s="17"/>
    </row>
    <row r="53" ht="15.75" customHeight="1">
      <c r="A53" s="11">
        <v>43800.0</v>
      </c>
      <c r="B53" s="18">
        <v>0.17</v>
      </c>
      <c r="C53" s="17">
        <v>64300.0</v>
      </c>
      <c r="D53" s="14" t="str">
        <f t="shared" si="1"/>
        <v>10931</v>
      </c>
      <c r="E53" s="14" t="str">
        <f t="shared" si="2"/>
        <v>75231</v>
      </c>
      <c r="F53" s="18">
        <v>1.64</v>
      </c>
      <c r="G53" s="13">
        <v>19540.0</v>
      </c>
      <c r="H53" s="19">
        <v>4700.0</v>
      </c>
      <c r="I53" s="14" t="str">
        <f t="shared" si="3"/>
        <v>1212</v>
      </c>
      <c r="J53" s="14" t="str">
        <f t="shared" si="4"/>
        <v>41741</v>
      </c>
      <c r="K53" s="14" t="str">
        <f t="shared" si="5"/>
        <v>67193</v>
      </c>
      <c r="L53" s="14" t="str">
        <f t="shared" si="6"/>
        <v>8038</v>
      </c>
      <c r="M53" s="17"/>
    </row>
    <row r="54" ht="15.75" customHeight="1">
      <c r="A54" s="11">
        <v>43831.0</v>
      </c>
      <c r="B54" s="18">
        <v>0.17</v>
      </c>
      <c r="C54" s="17">
        <v>64300.0</v>
      </c>
      <c r="D54" s="14" t="str">
        <f t="shared" si="1"/>
        <v>10931</v>
      </c>
      <c r="E54" s="14" t="str">
        <f t="shared" si="2"/>
        <v>75231</v>
      </c>
      <c r="F54" s="18">
        <v>1.64</v>
      </c>
      <c r="G54" s="13">
        <v>19540.0</v>
      </c>
      <c r="H54" s="19">
        <v>4700.0</v>
      </c>
      <c r="I54" s="14" t="str">
        <f t="shared" si="3"/>
        <v>1212</v>
      </c>
      <c r="J54" s="14" t="str">
        <f t="shared" si="4"/>
        <v>41741</v>
      </c>
      <c r="K54" s="14" t="str">
        <f t="shared" si="5"/>
        <v>67193</v>
      </c>
      <c r="L54" s="14" t="str">
        <f t="shared" si="6"/>
        <v>8038</v>
      </c>
      <c r="M54" s="17"/>
    </row>
    <row r="55" ht="15.75" customHeight="1">
      <c r="A55" s="11">
        <v>43862.0</v>
      </c>
      <c r="B55" s="18">
        <v>0.17</v>
      </c>
      <c r="C55" s="17">
        <v>64300.0</v>
      </c>
      <c r="D55" s="14" t="str">
        <f t="shared" si="1"/>
        <v>10931</v>
      </c>
      <c r="E55" s="14" t="str">
        <f t="shared" si="2"/>
        <v>75231</v>
      </c>
      <c r="F55" s="18">
        <v>1.64</v>
      </c>
      <c r="G55" s="13">
        <v>19540.0</v>
      </c>
      <c r="H55" s="19">
        <v>4700.0</v>
      </c>
      <c r="I55" s="14" t="str">
        <f t="shared" si="3"/>
        <v>1212</v>
      </c>
      <c r="J55" s="14" t="str">
        <f t="shared" si="4"/>
        <v>41741</v>
      </c>
      <c r="K55" s="14" t="str">
        <f t="shared" si="5"/>
        <v>67193</v>
      </c>
      <c r="L55" s="14" t="str">
        <f t="shared" si="6"/>
        <v>8038</v>
      </c>
      <c r="M55" s="17"/>
    </row>
    <row r="56" ht="15.75" customHeight="1">
      <c r="A56" s="11">
        <v>43891.0</v>
      </c>
      <c r="B56" s="18">
        <v>0.17</v>
      </c>
      <c r="C56" s="17">
        <v>64300.0</v>
      </c>
      <c r="D56" s="14" t="str">
        <f t="shared" si="1"/>
        <v>10931</v>
      </c>
      <c r="E56" s="14" t="str">
        <f t="shared" si="2"/>
        <v>75231</v>
      </c>
      <c r="F56" s="18">
        <v>1.64</v>
      </c>
      <c r="G56" s="13">
        <v>19540.0</v>
      </c>
      <c r="H56" s="19">
        <v>4700.0</v>
      </c>
      <c r="I56" s="14" t="str">
        <f t="shared" si="3"/>
        <v>1212</v>
      </c>
      <c r="J56" s="14" t="str">
        <f t="shared" si="4"/>
        <v>41741</v>
      </c>
      <c r="K56" s="14" t="str">
        <f t="shared" si="5"/>
        <v>67193</v>
      </c>
      <c r="L56" s="14" t="str">
        <f t="shared" si="6"/>
        <v>8038</v>
      </c>
      <c r="M56" s="17"/>
    </row>
    <row r="57" ht="15.75" customHeight="1">
      <c r="A57" s="11">
        <v>43922.0</v>
      </c>
      <c r="B57" s="18">
        <v>0.17</v>
      </c>
      <c r="C57" s="17">
        <v>64300.0</v>
      </c>
      <c r="D57" s="14" t="str">
        <f t="shared" si="1"/>
        <v>10931</v>
      </c>
      <c r="E57" s="14" t="str">
        <f t="shared" si="2"/>
        <v>75231</v>
      </c>
      <c r="F57" s="18">
        <v>1.64</v>
      </c>
      <c r="G57" s="13">
        <v>19540.0</v>
      </c>
      <c r="H57" s="19">
        <v>4700.0</v>
      </c>
      <c r="I57" s="14" t="str">
        <f t="shared" si="3"/>
        <v>1212</v>
      </c>
      <c r="J57" s="14" t="str">
        <f t="shared" si="4"/>
        <v>41741</v>
      </c>
      <c r="K57" s="14" t="str">
        <f t="shared" si="5"/>
        <v>67193</v>
      </c>
      <c r="L57" s="14" t="str">
        <f t="shared" si="6"/>
        <v>8038</v>
      </c>
      <c r="M57" s="17"/>
    </row>
    <row r="58" ht="15.75" customHeight="1">
      <c r="A58" s="11">
        <v>43952.0</v>
      </c>
      <c r="B58" s="18">
        <v>0.17</v>
      </c>
      <c r="C58" s="17">
        <v>64300.0</v>
      </c>
      <c r="D58" s="14" t="str">
        <f t="shared" si="1"/>
        <v>10931</v>
      </c>
      <c r="E58" s="14" t="str">
        <f t="shared" si="2"/>
        <v>75231</v>
      </c>
      <c r="F58" s="18">
        <v>1.64</v>
      </c>
      <c r="G58" s="13">
        <v>19540.0</v>
      </c>
      <c r="H58" s="19">
        <v>4700.0</v>
      </c>
      <c r="I58" s="14" t="str">
        <f t="shared" si="3"/>
        <v>1212</v>
      </c>
      <c r="J58" s="14" t="str">
        <f t="shared" si="4"/>
        <v>41741</v>
      </c>
      <c r="K58" s="14" t="str">
        <f t="shared" si="5"/>
        <v>67193</v>
      </c>
      <c r="L58" s="14" t="str">
        <f t="shared" si="6"/>
        <v>8038</v>
      </c>
      <c r="M58" s="17"/>
    </row>
    <row r="59" ht="15.75" customHeight="1">
      <c r="A59" s="11">
        <v>43983.0</v>
      </c>
      <c r="B59" s="18">
        <v>0.17</v>
      </c>
      <c r="C59" s="17">
        <v>64300.0</v>
      </c>
      <c r="D59" s="14" t="str">
        <f t="shared" si="1"/>
        <v>10931</v>
      </c>
      <c r="E59" s="14" t="str">
        <f t="shared" si="2"/>
        <v>75231</v>
      </c>
      <c r="F59" s="18">
        <v>1.64</v>
      </c>
      <c r="G59" s="13">
        <v>19540.0</v>
      </c>
      <c r="H59" s="19">
        <v>4700.0</v>
      </c>
      <c r="I59" s="14" t="str">
        <f t="shared" si="3"/>
        <v>1212</v>
      </c>
      <c r="J59" s="14" t="str">
        <f t="shared" si="4"/>
        <v>41741</v>
      </c>
      <c r="K59" s="14" t="str">
        <f t="shared" si="5"/>
        <v>67193</v>
      </c>
      <c r="L59" s="14" t="str">
        <f t="shared" si="6"/>
        <v>8038</v>
      </c>
      <c r="M59" s="17"/>
    </row>
    <row r="60" ht="15.75" customHeight="1">
      <c r="A60" s="11">
        <v>44013.0</v>
      </c>
      <c r="B60" s="18">
        <v>0.17</v>
      </c>
      <c r="C60" s="17">
        <v>64300.0</v>
      </c>
      <c r="D60" s="14" t="str">
        <f t="shared" si="1"/>
        <v>10931</v>
      </c>
      <c r="E60" s="14" t="str">
        <f t="shared" si="2"/>
        <v>75231</v>
      </c>
      <c r="F60" s="18">
        <v>1.64</v>
      </c>
      <c r="G60" s="13">
        <v>19540.0</v>
      </c>
      <c r="H60" s="19">
        <v>4700.0</v>
      </c>
      <c r="I60" s="14" t="str">
        <f t="shared" si="3"/>
        <v>1212</v>
      </c>
      <c r="J60" s="14" t="str">
        <f t="shared" si="4"/>
        <v>41741</v>
      </c>
      <c r="K60" s="14" t="str">
        <f t="shared" si="5"/>
        <v>67193</v>
      </c>
      <c r="L60" s="14" t="str">
        <f t="shared" si="6"/>
        <v>8038</v>
      </c>
      <c r="M60" s="17"/>
    </row>
    <row r="61" ht="15.75" customHeight="1">
      <c r="A61" s="11">
        <v>44044.0</v>
      </c>
      <c r="B61" s="18">
        <v>0.17</v>
      </c>
      <c r="C61" s="17">
        <v>64300.0</v>
      </c>
      <c r="D61" s="14" t="str">
        <f t="shared" si="1"/>
        <v>10931</v>
      </c>
      <c r="E61" s="14" t="str">
        <f t="shared" si="2"/>
        <v>75231</v>
      </c>
      <c r="F61" s="18">
        <v>1.64</v>
      </c>
      <c r="G61" s="13">
        <v>19540.0</v>
      </c>
      <c r="H61" s="19">
        <v>4700.0</v>
      </c>
      <c r="I61" s="14" t="str">
        <f t="shared" si="3"/>
        <v>1212</v>
      </c>
      <c r="J61" s="14" t="str">
        <f t="shared" si="4"/>
        <v>41741</v>
      </c>
      <c r="K61" s="14" t="str">
        <f t="shared" si="5"/>
        <v>67193</v>
      </c>
      <c r="L61" s="14" t="str">
        <f t="shared" si="6"/>
        <v>8038</v>
      </c>
      <c r="M61" s="17"/>
    </row>
    <row r="62" ht="15.75" customHeight="1">
      <c r="A62" s="16">
        <v>44075.0</v>
      </c>
      <c r="B62" s="18">
        <v>0.17</v>
      </c>
      <c r="C62" s="17">
        <v>66200.0</v>
      </c>
      <c r="D62" s="14" t="str">
        <f t="shared" si="1"/>
        <v>11254</v>
      </c>
      <c r="E62" s="14" t="str">
        <f t="shared" si="2"/>
        <v>77454</v>
      </c>
      <c r="F62" s="18">
        <v>1.64</v>
      </c>
      <c r="G62" s="13">
        <v>20270.0</v>
      </c>
      <c r="H62" s="19">
        <v>4700.0</v>
      </c>
      <c r="I62" s="14" t="str">
        <f t="shared" si="3"/>
        <v>1249</v>
      </c>
      <c r="J62" s="14" t="str">
        <f t="shared" si="4"/>
        <v>42999</v>
      </c>
      <c r="K62" s="14" t="str">
        <f t="shared" si="5"/>
        <v>69218</v>
      </c>
      <c r="L62" s="14" t="str">
        <f t="shared" si="6"/>
        <v>8236</v>
      </c>
      <c r="M62" s="17"/>
    </row>
    <row r="63" ht="15.75" customHeight="1">
      <c r="A63" s="11">
        <v>44105.0</v>
      </c>
      <c r="B63" s="18">
        <v>0.17</v>
      </c>
      <c r="C63" s="17">
        <v>66200.0</v>
      </c>
      <c r="D63" s="14" t="str">
        <f t="shared" si="1"/>
        <v>11254</v>
      </c>
      <c r="E63" s="14" t="str">
        <f t="shared" si="2"/>
        <v>77454</v>
      </c>
      <c r="F63" s="18">
        <v>1.64</v>
      </c>
      <c r="G63" s="13">
        <v>20270.0</v>
      </c>
      <c r="H63" s="19">
        <v>4700.0</v>
      </c>
      <c r="I63" s="14" t="str">
        <f t="shared" si="3"/>
        <v>1249</v>
      </c>
      <c r="J63" s="14" t="str">
        <f t="shared" si="4"/>
        <v>42999</v>
      </c>
      <c r="K63" s="14" t="str">
        <f t="shared" si="5"/>
        <v>69218</v>
      </c>
      <c r="L63" s="14" t="str">
        <f t="shared" si="6"/>
        <v>8236</v>
      </c>
      <c r="M63" s="17"/>
    </row>
    <row r="64" ht="15.75" customHeight="1">
      <c r="A64" s="11">
        <v>44136.0</v>
      </c>
      <c r="B64" s="18">
        <v>0.17</v>
      </c>
      <c r="C64" s="17">
        <v>66200.0</v>
      </c>
      <c r="D64" s="14" t="str">
        <f t="shared" si="1"/>
        <v>11254</v>
      </c>
      <c r="E64" s="14" t="str">
        <f t="shared" si="2"/>
        <v>77454</v>
      </c>
      <c r="F64" s="18">
        <v>1.64</v>
      </c>
      <c r="G64" s="13">
        <v>20270.0</v>
      </c>
      <c r="H64" s="19">
        <v>4700.0</v>
      </c>
      <c r="I64" s="14" t="str">
        <f t="shared" si="3"/>
        <v>1249</v>
      </c>
      <c r="J64" s="14" t="str">
        <f t="shared" si="4"/>
        <v>42999</v>
      </c>
      <c r="K64" s="14" t="str">
        <f t="shared" si="5"/>
        <v>69218</v>
      </c>
      <c r="L64" s="14" t="str">
        <f t="shared" si="6"/>
        <v>8236</v>
      </c>
      <c r="M64" s="17"/>
    </row>
    <row r="65" ht="15.75" customHeight="1">
      <c r="A65" s="11" t="s">
        <v>15</v>
      </c>
      <c r="B65" s="18">
        <v>0.17</v>
      </c>
      <c r="C65" s="17">
        <v>4271.0</v>
      </c>
      <c r="D65" s="14" t="str">
        <f t="shared" si="1"/>
        <v>726</v>
      </c>
      <c r="E65" s="14" t="str">
        <f t="shared" si="2"/>
        <v>4997</v>
      </c>
      <c r="F65" s="18">
        <v>1.64</v>
      </c>
      <c r="G65" s="13">
        <v>1308.0</v>
      </c>
      <c r="H65" s="19">
        <v>303.0</v>
      </c>
      <c r="I65" s="14" t="str">
        <f t="shared" si="3"/>
        <v>81</v>
      </c>
      <c r="J65" s="14" t="str">
        <f t="shared" si="4"/>
        <v>2775</v>
      </c>
      <c r="K65" s="14" t="str">
        <f t="shared" si="5"/>
        <v>4467</v>
      </c>
      <c r="L65" s="14" t="str">
        <f t="shared" si="6"/>
        <v>530</v>
      </c>
      <c r="M65" s="17"/>
    </row>
    <row r="66" ht="15.75" customHeight="1">
      <c r="A66" s="11" t="s">
        <v>16</v>
      </c>
      <c r="B66" s="18">
        <v>0.17</v>
      </c>
      <c r="C66" s="17">
        <v>62023.0</v>
      </c>
      <c r="D66" s="14" t="str">
        <f t="shared" si="1"/>
        <v>10544</v>
      </c>
      <c r="E66" s="14" t="str">
        <f t="shared" si="2"/>
        <v>72567</v>
      </c>
      <c r="F66" s="18">
        <v>1.64</v>
      </c>
      <c r="G66" s="13">
        <v>18962.0</v>
      </c>
      <c r="H66" s="19">
        <v>5005.0</v>
      </c>
      <c r="I66" s="14" t="str">
        <f t="shared" si="3"/>
        <v>1198</v>
      </c>
      <c r="J66" s="14" t="str">
        <f t="shared" si="4"/>
        <v>41271</v>
      </c>
      <c r="K66" s="14" t="str">
        <f t="shared" si="5"/>
        <v>66436</v>
      </c>
      <c r="L66" s="14" t="str">
        <f t="shared" si="6"/>
        <v>6131</v>
      </c>
      <c r="M66" s="17"/>
    </row>
    <row r="67" ht="15.75" customHeight="1">
      <c r="A67" s="11">
        <v>44197.0</v>
      </c>
      <c r="B67" s="18">
        <v>0.17</v>
      </c>
      <c r="C67" s="17">
        <v>66300.0</v>
      </c>
      <c r="D67" s="14" t="str">
        <f t="shared" si="1"/>
        <v>11271</v>
      </c>
      <c r="E67" s="14" t="str">
        <f t="shared" si="2"/>
        <v>77571</v>
      </c>
      <c r="F67" s="18">
        <v>1.64</v>
      </c>
      <c r="G67" s="13">
        <v>20270.0</v>
      </c>
      <c r="H67" s="19">
        <v>5350.0</v>
      </c>
      <c r="I67" s="14" t="str">
        <f t="shared" si="3"/>
        <v>1281</v>
      </c>
      <c r="J67" s="14" t="str">
        <f t="shared" si="4"/>
        <v>44118</v>
      </c>
      <c r="K67" s="14" t="str">
        <f t="shared" si="5"/>
        <v>71019</v>
      </c>
      <c r="L67" s="14" t="str">
        <f t="shared" si="6"/>
        <v>6552</v>
      </c>
      <c r="M67" s="17"/>
    </row>
    <row r="68" ht="15.75" customHeight="1">
      <c r="A68" s="11">
        <v>44228.0</v>
      </c>
      <c r="B68" s="18">
        <v>0.17</v>
      </c>
      <c r="C68" s="17">
        <v>66300.0</v>
      </c>
      <c r="D68" s="14" t="str">
        <f t="shared" si="1"/>
        <v>11271</v>
      </c>
      <c r="E68" s="14" t="str">
        <f t="shared" si="2"/>
        <v>77571</v>
      </c>
      <c r="F68" s="18">
        <v>1.64</v>
      </c>
      <c r="G68" s="13">
        <v>20270.0</v>
      </c>
      <c r="H68" s="19">
        <v>5350.0</v>
      </c>
      <c r="I68" s="14" t="str">
        <f t="shared" si="3"/>
        <v>1281</v>
      </c>
      <c r="J68" s="14" t="str">
        <f t="shared" si="4"/>
        <v>44118</v>
      </c>
      <c r="K68" s="14" t="str">
        <f t="shared" si="5"/>
        <v>71019</v>
      </c>
      <c r="L68" s="14" t="str">
        <f t="shared" si="6"/>
        <v>6552</v>
      </c>
      <c r="M68" s="17"/>
    </row>
    <row r="69" ht="15.75" customHeight="1">
      <c r="A69" s="11">
        <v>44256.0</v>
      </c>
      <c r="B69" s="18">
        <v>0.17</v>
      </c>
      <c r="C69" s="17">
        <v>66300.0</v>
      </c>
      <c r="D69" s="14" t="str">
        <f t="shared" si="1"/>
        <v>11271</v>
      </c>
      <c r="E69" s="14" t="str">
        <f t="shared" si="2"/>
        <v>77571</v>
      </c>
      <c r="F69" s="18">
        <v>1.64</v>
      </c>
      <c r="G69" s="13">
        <v>20270.0</v>
      </c>
      <c r="H69" s="19">
        <v>5350.0</v>
      </c>
      <c r="I69" s="14" t="str">
        <f t="shared" si="3"/>
        <v>1281</v>
      </c>
      <c r="J69" s="14" t="str">
        <f t="shared" si="4"/>
        <v>44118</v>
      </c>
      <c r="K69" s="14" t="str">
        <f t="shared" si="5"/>
        <v>71019</v>
      </c>
      <c r="L69" s="14" t="str">
        <f t="shared" si="6"/>
        <v>6552</v>
      </c>
      <c r="M69" s="17"/>
    </row>
    <row r="70" ht="15.75" customHeight="1">
      <c r="A70" s="11">
        <v>44287.0</v>
      </c>
      <c r="B70" s="18">
        <v>0.17</v>
      </c>
      <c r="C70" s="17">
        <v>66300.0</v>
      </c>
      <c r="D70" s="14" t="str">
        <f t="shared" si="1"/>
        <v>11271</v>
      </c>
      <c r="E70" s="14" t="str">
        <f t="shared" si="2"/>
        <v>77571</v>
      </c>
      <c r="F70" s="18">
        <v>1.64</v>
      </c>
      <c r="G70" s="13">
        <v>20270.0</v>
      </c>
      <c r="H70" s="19">
        <v>5350.0</v>
      </c>
      <c r="I70" s="14" t="str">
        <f t="shared" si="3"/>
        <v>1281</v>
      </c>
      <c r="J70" s="14" t="str">
        <f t="shared" si="4"/>
        <v>44118</v>
      </c>
      <c r="K70" s="14" t="str">
        <f t="shared" si="5"/>
        <v>71019</v>
      </c>
      <c r="L70" s="14" t="str">
        <f t="shared" si="6"/>
        <v>6552</v>
      </c>
      <c r="M70" s="17"/>
    </row>
    <row r="71" ht="15.75" customHeight="1">
      <c r="A71" s="11">
        <v>44317.0</v>
      </c>
      <c r="B71" s="18">
        <v>0.17</v>
      </c>
      <c r="C71" s="17">
        <v>66300.0</v>
      </c>
      <c r="D71" s="14" t="str">
        <f t="shared" si="1"/>
        <v>11271</v>
      </c>
      <c r="E71" s="14" t="str">
        <f t="shared" si="2"/>
        <v>77571</v>
      </c>
      <c r="F71" s="18">
        <v>1.64</v>
      </c>
      <c r="G71" s="13">
        <v>20270.0</v>
      </c>
      <c r="H71" s="19">
        <v>5350.0</v>
      </c>
      <c r="I71" s="14" t="str">
        <f t="shared" si="3"/>
        <v>1281</v>
      </c>
      <c r="J71" s="14" t="str">
        <f t="shared" si="4"/>
        <v>44118</v>
      </c>
      <c r="K71" s="14" t="str">
        <f t="shared" si="5"/>
        <v>71019</v>
      </c>
      <c r="L71" s="14" t="str">
        <f t="shared" si="6"/>
        <v>6552</v>
      </c>
      <c r="M71" s="17"/>
    </row>
    <row r="72" ht="15.75" customHeight="1">
      <c r="A72" s="11">
        <v>44348.0</v>
      </c>
      <c r="B72" s="18">
        <v>0.17</v>
      </c>
      <c r="C72" s="17">
        <v>66300.0</v>
      </c>
      <c r="D72" s="14" t="str">
        <f t="shared" si="1"/>
        <v>11271</v>
      </c>
      <c r="E72" s="14" t="str">
        <f t="shared" si="2"/>
        <v>77571</v>
      </c>
      <c r="F72" s="18">
        <v>1.64</v>
      </c>
      <c r="G72" s="13">
        <v>20270.0</v>
      </c>
      <c r="H72" s="19">
        <v>5350.0</v>
      </c>
      <c r="I72" s="14" t="str">
        <f t="shared" si="3"/>
        <v>1281</v>
      </c>
      <c r="J72" s="14" t="str">
        <f t="shared" si="4"/>
        <v>44118</v>
      </c>
      <c r="K72" s="14" t="str">
        <f t="shared" si="5"/>
        <v>71019</v>
      </c>
      <c r="L72" s="14" t="str">
        <f t="shared" si="6"/>
        <v>6552</v>
      </c>
      <c r="M72" s="17"/>
    </row>
    <row r="73" ht="15.75" customHeight="1">
      <c r="A73" s="19" t="s">
        <v>17</v>
      </c>
      <c r="B73" s="19"/>
      <c r="C73" s="19" t="str">
        <f t="shared" ref="C73:E73" si="7">SUM(C4:C72)</f>
        <v>3890125</v>
      </c>
      <c r="D73" s="15" t="str">
        <f t="shared" si="7"/>
        <v>398380</v>
      </c>
      <c r="E73" s="15" t="str">
        <f t="shared" si="7"/>
        <v>4288505</v>
      </c>
      <c r="F73" s="19"/>
      <c r="G73" s="19" t="str">
        <f t="shared" ref="G73:L73" si="8">SUM(G4:G72)</f>
        <v>1177266</v>
      </c>
      <c r="H73" s="19" t="str">
        <f t="shared" si="8"/>
        <v>299622</v>
      </c>
      <c r="I73" s="15" t="str">
        <f t="shared" si="8"/>
        <v>73846</v>
      </c>
      <c r="J73" s="15" t="str">
        <f t="shared" si="8"/>
        <v>2318138</v>
      </c>
      <c r="K73" s="15" t="str">
        <f t="shared" si="8"/>
        <v>3868872</v>
      </c>
      <c r="L73" s="15" t="str">
        <f t="shared" si="8"/>
        <v>419633</v>
      </c>
      <c r="M73" s="19"/>
    </row>
    <row r="74" ht="15.75" customHeight="1">
      <c r="B74" s="25"/>
      <c r="F74" s="26"/>
      <c r="H74" s="25"/>
    </row>
    <row r="75" ht="15.75" customHeight="1">
      <c r="B75" s="25"/>
      <c r="F75" s="26"/>
      <c r="H75" s="25"/>
    </row>
    <row r="76" ht="15.75" customHeight="1">
      <c r="B76" s="25"/>
      <c r="F76" s="26"/>
      <c r="H76" s="25"/>
    </row>
    <row r="77" ht="15.75" customHeight="1">
      <c r="B77" s="25"/>
      <c r="F77" s="26"/>
      <c r="H77" s="25"/>
    </row>
    <row r="78" ht="15.75" customHeight="1">
      <c r="B78" s="25"/>
      <c r="F78" s="26"/>
      <c r="H78" s="25"/>
    </row>
    <row r="79" ht="15.75" customHeight="1">
      <c r="B79" s="25"/>
      <c r="F79" s="26"/>
      <c r="H79" s="25"/>
    </row>
    <row r="80" ht="15.75" customHeight="1">
      <c r="B80" s="25"/>
      <c r="F80" s="26"/>
      <c r="H80" s="25"/>
    </row>
    <row r="81" ht="15.75" customHeight="1">
      <c r="B81" s="25"/>
      <c r="F81" s="26"/>
      <c r="H81" s="25"/>
    </row>
    <row r="82" ht="15.75" customHeight="1">
      <c r="B82" s="25"/>
      <c r="F82" s="26"/>
      <c r="H82" s="25"/>
    </row>
    <row r="83" ht="15.75" customHeight="1">
      <c r="B83" s="25"/>
      <c r="F83" s="26"/>
      <c r="H83" s="25"/>
    </row>
    <row r="84" ht="15.75" customHeight="1">
      <c r="B84" s="25"/>
      <c r="F84" s="26"/>
      <c r="H84" s="25"/>
    </row>
    <row r="85" ht="15.75" customHeight="1">
      <c r="B85" s="25"/>
      <c r="F85" s="26"/>
      <c r="H85" s="25"/>
    </row>
    <row r="86" ht="15.75" customHeight="1">
      <c r="B86" s="25"/>
      <c r="F86" s="26"/>
      <c r="H86" s="25"/>
    </row>
    <row r="87" ht="15.75" customHeight="1">
      <c r="B87" s="25"/>
      <c r="F87" s="26"/>
      <c r="H87" s="25"/>
    </row>
    <row r="88" ht="15.75" customHeight="1">
      <c r="B88" s="25"/>
      <c r="F88" s="26"/>
      <c r="H88" s="25"/>
    </row>
    <row r="89" ht="15.75" customHeight="1">
      <c r="B89" s="25"/>
      <c r="F89" s="26"/>
      <c r="H89" s="25"/>
    </row>
    <row r="90" ht="15.75" customHeight="1">
      <c r="B90" s="25"/>
      <c r="F90" s="26"/>
      <c r="H90" s="25"/>
    </row>
    <row r="91" ht="15.75" customHeight="1">
      <c r="B91" s="25"/>
      <c r="F91" s="26"/>
      <c r="H91" s="25"/>
    </row>
    <row r="92" ht="15.75" customHeight="1">
      <c r="B92" s="25"/>
      <c r="F92" s="26"/>
      <c r="H92" s="25"/>
    </row>
    <row r="93" ht="15.75" customHeight="1">
      <c r="B93" s="25"/>
      <c r="F93" s="26"/>
      <c r="H93" s="25"/>
    </row>
    <row r="94" ht="15.75" customHeight="1">
      <c r="B94" s="25"/>
      <c r="F94" s="26"/>
      <c r="H94" s="25"/>
    </row>
    <row r="95" ht="15.75" customHeight="1">
      <c r="B95" s="25"/>
      <c r="F95" s="26"/>
      <c r="H95" s="25"/>
    </row>
    <row r="96" ht="15.75" customHeight="1">
      <c r="B96" s="25"/>
      <c r="F96" s="26"/>
      <c r="H96" s="25"/>
    </row>
    <row r="97" ht="15.75" customHeight="1">
      <c r="B97" s="25"/>
      <c r="F97" s="26"/>
      <c r="H97" s="25"/>
    </row>
    <row r="98" ht="15.75" customHeight="1">
      <c r="B98" s="25"/>
      <c r="F98" s="26"/>
      <c r="H98" s="25"/>
    </row>
    <row r="99" ht="15.75" customHeight="1">
      <c r="B99" s="25"/>
      <c r="F99" s="26"/>
      <c r="H99" s="25"/>
    </row>
    <row r="100" ht="15.75" customHeight="1">
      <c r="B100" s="25"/>
      <c r="F100" s="26"/>
      <c r="H100" s="25"/>
    </row>
  </sheetData>
  <mergeCells count="3">
    <mergeCell ref="A1:M1"/>
    <mergeCell ref="C2:D2"/>
    <mergeCell ref="G2:J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6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27"/>
      <c r="B2" s="27"/>
      <c r="C2" s="28" t="s">
        <v>1</v>
      </c>
      <c r="D2" s="29"/>
      <c r="E2" s="30"/>
      <c r="F2" s="30"/>
      <c r="G2" s="28" t="s">
        <v>2</v>
      </c>
      <c r="H2" s="31"/>
      <c r="I2" s="31"/>
      <c r="J2" s="29"/>
      <c r="K2" s="32"/>
      <c r="L2" s="33"/>
      <c r="M2" s="33"/>
      <c r="N2" s="34"/>
    </row>
    <row r="3">
      <c r="A3" s="5" t="s">
        <v>3</v>
      </c>
      <c r="B3" s="8" t="s">
        <v>4</v>
      </c>
      <c r="C3" s="8" t="s">
        <v>5</v>
      </c>
      <c r="D3" s="35" t="s">
        <v>4</v>
      </c>
      <c r="E3" s="35" t="s">
        <v>6</v>
      </c>
      <c r="F3" s="8" t="s">
        <v>4</v>
      </c>
      <c r="G3" s="8" t="s">
        <v>5</v>
      </c>
      <c r="H3" s="8" t="s">
        <v>7</v>
      </c>
      <c r="I3" s="8" t="s">
        <v>8</v>
      </c>
      <c r="J3" s="35" t="s">
        <v>4</v>
      </c>
      <c r="K3" s="35" t="s">
        <v>6</v>
      </c>
      <c r="L3" s="9" t="s">
        <v>9</v>
      </c>
      <c r="M3" s="9" t="s">
        <v>19</v>
      </c>
      <c r="N3" s="10" t="s">
        <v>10</v>
      </c>
    </row>
    <row r="4">
      <c r="A4" s="11" t="s">
        <v>20</v>
      </c>
      <c r="B4" s="12">
        <v>0.0</v>
      </c>
      <c r="C4" s="13">
        <v>56900.0</v>
      </c>
      <c r="D4" s="14" t="str">
        <f t="shared" ref="D4:D19" si="1">ROUND(SUM(C4)*B4, 0)</f>
        <v>0</v>
      </c>
      <c r="E4" s="14" t="str">
        <f t="shared" ref="E4:E19" si="2">SUM(C4:D4)</f>
        <v>56900</v>
      </c>
      <c r="F4" s="12">
        <v>1.25</v>
      </c>
      <c r="G4" s="13">
        <v>16960.0</v>
      </c>
      <c r="H4" s="13">
        <v>5450.0</v>
      </c>
      <c r="I4" s="14"/>
      <c r="J4" s="14" t="str">
        <f t="shared" ref="J4:J19" si="3">ROUND(SUM(G4+H4+I4)*F4,0)</f>
        <v>28013</v>
      </c>
      <c r="K4" s="14" t="str">
        <f t="shared" ref="K4:K19" si="4">SUM(G4:J4)</f>
        <v>50423</v>
      </c>
      <c r="L4" s="14" t="str">
        <f t="shared" ref="L4:L19" si="5">E4-K4</f>
        <v>6477</v>
      </c>
      <c r="M4" s="14">
        <v>6.0</v>
      </c>
      <c r="N4" s="15" t="str">
        <f t="shared" ref="N4:N19" si="6">L4*M4</f>
        <v>38862</v>
      </c>
    </row>
    <row r="5">
      <c r="A5" s="11" t="s">
        <v>21</v>
      </c>
      <c r="B5" s="12">
        <v>0.02</v>
      </c>
      <c r="C5" s="13">
        <v>56900.0</v>
      </c>
      <c r="D5" s="14" t="str">
        <f t="shared" si="1"/>
        <v>1138</v>
      </c>
      <c r="E5" s="14" t="str">
        <f t="shared" si="2"/>
        <v>58038</v>
      </c>
      <c r="F5" s="12">
        <v>1.32</v>
      </c>
      <c r="G5" s="13">
        <v>16960.0</v>
      </c>
      <c r="H5" s="13">
        <v>5450.0</v>
      </c>
      <c r="I5" s="14"/>
      <c r="J5" s="14" t="str">
        <f t="shared" si="3"/>
        <v>29581</v>
      </c>
      <c r="K5" s="14" t="str">
        <f t="shared" si="4"/>
        <v>51991</v>
      </c>
      <c r="L5" s="14" t="str">
        <f t="shared" si="5"/>
        <v>6047</v>
      </c>
      <c r="M5" s="14">
        <v>5.0</v>
      </c>
      <c r="N5" s="15" t="str">
        <f t="shared" si="6"/>
        <v>30235</v>
      </c>
    </row>
    <row r="6">
      <c r="A6" s="11">
        <v>42705.0</v>
      </c>
      <c r="B6" s="12">
        <v>0.02</v>
      </c>
      <c r="C6" s="13">
        <v>58600.0</v>
      </c>
      <c r="D6" s="14" t="str">
        <f t="shared" si="1"/>
        <v>1172</v>
      </c>
      <c r="E6" s="14" t="str">
        <f t="shared" si="2"/>
        <v>59772</v>
      </c>
      <c r="F6" s="12">
        <v>1.32</v>
      </c>
      <c r="G6" s="13">
        <v>17640.0</v>
      </c>
      <c r="H6" s="13">
        <v>5450.0</v>
      </c>
      <c r="I6" s="14"/>
      <c r="J6" s="14" t="str">
        <f t="shared" si="3"/>
        <v>30479</v>
      </c>
      <c r="K6" s="14" t="str">
        <f t="shared" si="4"/>
        <v>53569</v>
      </c>
      <c r="L6" s="14" t="str">
        <f t="shared" si="5"/>
        <v>6203</v>
      </c>
      <c r="M6" s="14">
        <v>1.0</v>
      </c>
      <c r="N6" s="15" t="str">
        <f t="shared" si="6"/>
        <v>6203</v>
      </c>
    </row>
    <row r="7">
      <c r="A7" s="11" t="s">
        <v>22</v>
      </c>
      <c r="B7" s="12">
        <v>0.04</v>
      </c>
      <c r="C7" s="13">
        <v>58600.0</v>
      </c>
      <c r="D7" s="14" t="str">
        <f t="shared" si="1"/>
        <v>2344</v>
      </c>
      <c r="E7" s="14" t="str">
        <f t="shared" si="2"/>
        <v>60944</v>
      </c>
      <c r="F7" s="12">
        <v>1.36</v>
      </c>
      <c r="G7" s="13">
        <v>17640.0</v>
      </c>
      <c r="H7" s="13">
        <v>5450.0</v>
      </c>
      <c r="I7" s="14" t="str">
        <f t="shared" ref="I7:I19" si="7">ROUND(SUM(G7+H7)*5%,0)</f>
        <v>1155</v>
      </c>
      <c r="J7" s="14" t="str">
        <f t="shared" si="3"/>
        <v>32973</v>
      </c>
      <c r="K7" s="14" t="str">
        <f t="shared" si="4"/>
        <v>57218</v>
      </c>
      <c r="L7" s="14" t="str">
        <f t="shared" si="5"/>
        <v>3726</v>
      </c>
      <c r="M7" s="14">
        <v>6.0</v>
      </c>
      <c r="N7" s="15" t="str">
        <f t="shared" si="6"/>
        <v>22356</v>
      </c>
    </row>
    <row r="8">
      <c r="A8" s="11" t="s">
        <v>23</v>
      </c>
      <c r="B8" s="12">
        <v>0.05</v>
      </c>
      <c r="C8" s="13">
        <v>58600.0</v>
      </c>
      <c r="D8" s="14" t="str">
        <f t="shared" si="1"/>
        <v>2930</v>
      </c>
      <c r="E8" s="14" t="str">
        <f t="shared" si="2"/>
        <v>61530</v>
      </c>
      <c r="F8" s="12">
        <v>1.39</v>
      </c>
      <c r="G8" s="13">
        <v>17640.0</v>
      </c>
      <c r="H8" s="13">
        <v>5450.0</v>
      </c>
      <c r="I8" s="14" t="str">
        <f t="shared" si="7"/>
        <v>1155</v>
      </c>
      <c r="J8" s="14" t="str">
        <f t="shared" si="3"/>
        <v>33701</v>
      </c>
      <c r="K8" s="14" t="str">
        <f t="shared" si="4"/>
        <v>57946</v>
      </c>
      <c r="L8" s="14" t="str">
        <f t="shared" si="5"/>
        <v>3584</v>
      </c>
      <c r="M8" s="14">
        <v>5.0</v>
      </c>
      <c r="N8" s="15" t="str">
        <f t="shared" si="6"/>
        <v>17920</v>
      </c>
    </row>
    <row r="9">
      <c r="A9" s="11">
        <v>43070.0</v>
      </c>
      <c r="B9" s="12">
        <v>0.05</v>
      </c>
      <c r="C9" s="13">
        <v>60400.0</v>
      </c>
      <c r="D9" s="14" t="str">
        <f t="shared" si="1"/>
        <v>3020</v>
      </c>
      <c r="E9" s="14" t="str">
        <f t="shared" si="2"/>
        <v>63420</v>
      </c>
      <c r="F9" s="12">
        <v>1.39</v>
      </c>
      <c r="G9" s="13">
        <v>18340.0</v>
      </c>
      <c r="H9" s="13">
        <v>5450.0</v>
      </c>
      <c r="I9" s="14" t="str">
        <f t="shared" si="7"/>
        <v>1190</v>
      </c>
      <c r="J9" s="14" t="str">
        <f t="shared" si="3"/>
        <v>34722</v>
      </c>
      <c r="K9" s="14" t="str">
        <f t="shared" si="4"/>
        <v>59702</v>
      </c>
      <c r="L9" s="14" t="str">
        <f t="shared" si="5"/>
        <v>3718</v>
      </c>
      <c r="M9" s="14">
        <v>1.0</v>
      </c>
      <c r="N9" s="15" t="str">
        <f t="shared" si="6"/>
        <v>3718</v>
      </c>
    </row>
    <row r="10">
      <c r="A10" s="11" t="s">
        <v>24</v>
      </c>
      <c r="B10" s="12">
        <v>0.07</v>
      </c>
      <c r="C10" s="13">
        <v>60400.0</v>
      </c>
      <c r="D10" s="14" t="str">
        <f t="shared" si="1"/>
        <v>4228</v>
      </c>
      <c r="E10" s="14" t="str">
        <f t="shared" si="2"/>
        <v>64628</v>
      </c>
      <c r="F10" s="12">
        <v>1.42</v>
      </c>
      <c r="G10" s="13">
        <v>18340.0</v>
      </c>
      <c r="H10" s="13">
        <v>5450.0</v>
      </c>
      <c r="I10" s="14" t="str">
        <f t="shared" si="7"/>
        <v>1190</v>
      </c>
      <c r="J10" s="14" t="str">
        <f t="shared" si="3"/>
        <v>35472</v>
      </c>
      <c r="K10" s="14" t="str">
        <f t="shared" si="4"/>
        <v>60452</v>
      </c>
      <c r="L10" s="14" t="str">
        <f t="shared" si="5"/>
        <v>4176</v>
      </c>
      <c r="M10" s="14">
        <v>6.0</v>
      </c>
      <c r="N10" s="15" t="str">
        <f t="shared" si="6"/>
        <v>25056</v>
      </c>
    </row>
    <row r="11">
      <c r="A11" s="11" t="s">
        <v>25</v>
      </c>
      <c r="B11" s="12">
        <v>0.09</v>
      </c>
      <c r="C11" s="13">
        <v>60400.0</v>
      </c>
      <c r="D11" s="14" t="str">
        <f t="shared" si="1"/>
        <v>5436</v>
      </c>
      <c r="E11" s="14" t="str">
        <f t="shared" si="2"/>
        <v>65836</v>
      </c>
      <c r="F11" s="12">
        <v>1.48</v>
      </c>
      <c r="G11" s="13">
        <v>18340.0</v>
      </c>
      <c r="H11" s="13">
        <v>5450.0</v>
      </c>
      <c r="I11" s="14" t="str">
        <f t="shared" si="7"/>
        <v>1190</v>
      </c>
      <c r="J11" s="14" t="str">
        <f t="shared" si="3"/>
        <v>36970</v>
      </c>
      <c r="K11" s="14" t="str">
        <f t="shared" si="4"/>
        <v>61950</v>
      </c>
      <c r="L11" s="14" t="str">
        <f t="shared" si="5"/>
        <v>3886</v>
      </c>
      <c r="M11" s="14">
        <v>5.0</v>
      </c>
      <c r="N11" s="15" t="str">
        <f t="shared" si="6"/>
        <v>19430</v>
      </c>
    </row>
    <row r="12">
      <c r="A12" s="11">
        <v>43435.0</v>
      </c>
      <c r="B12" s="12">
        <v>0.09</v>
      </c>
      <c r="C12" s="13">
        <v>62200.0</v>
      </c>
      <c r="D12" s="14" t="str">
        <f t="shared" si="1"/>
        <v>5598</v>
      </c>
      <c r="E12" s="14" t="str">
        <f t="shared" si="2"/>
        <v>67798</v>
      </c>
      <c r="F12" s="12">
        <v>1.48</v>
      </c>
      <c r="G12" s="13">
        <v>19060.0</v>
      </c>
      <c r="H12" s="13">
        <v>5450.0</v>
      </c>
      <c r="I12" s="14" t="str">
        <f t="shared" si="7"/>
        <v>1226</v>
      </c>
      <c r="J12" s="14" t="str">
        <f t="shared" si="3"/>
        <v>38089</v>
      </c>
      <c r="K12" s="14" t="str">
        <f t="shared" si="4"/>
        <v>63825</v>
      </c>
      <c r="L12" s="14" t="str">
        <f t="shared" si="5"/>
        <v>3973</v>
      </c>
      <c r="M12" s="14">
        <v>1.0</v>
      </c>
      <c r="N12" s="15" t="str">
        <f t="shared" si="6"/>
        <v>3973</v>
      </c>
    </row>
    <row r="13">
      <c r="A13" s="11" t="s">
        <v>26</v>
      </c>
      <c r="B13" s="12">
        <v>0.12</v>
      </c>
      <c r="C13" s="13">
        <v>62200.0</v>
      </c>
      <c r="D13" s="14" t="str">
        <f t="shared" si="1"/>
        <v>7464</v>
      </c>
      <c r="E13" s="14" t="str">
        <f t="shared" si="2"/>
        <v>69664</v>
      </c>
      <c r="F13" s="12">
        <v>1.54</v>
      </c>
      <c r="G13" s="13">
        <v>19060.0</v>
      </c>
      <c r="H13" s="13">
        <v>5450.0</v>
      </c>
      <c r="I13" s="14" t="str">
        <f t="shared" si="7"/>
        <v>1226</v>
      </c>
      <c r="J13" s="14" t="str">
        <f t="shared" si="3"/>
        <v>39633</v>
      </c>
      <c r="K13" s="14" t="str">
        <f t="shared" si="4"/>
        <v>65369</v>
      </c>
      <c r="L13" s="14" t="str">
        <f t="shared" si="5"/>
        <v>4295</v>
      </c>
      <c r="M13" s="14">
        <v>6.0</v>
      </c>
      <c r="N13" s="15" t="str">
        <f t="shared" si="6"/>
        <v>25770</v>
      </c>
    </row>
    <row r="14">
      <c r="A14" s="11" t="s">
        <v>27</v>
      </c>
      <c r="B14" s="12">
        <v>0.17</v>
      </c>
      <c r="C14" s="13">
        <v>62200.0</v>
      </c>
      <c r="D14" s="14" t="str">
        <f t="shared" si="1"/>
        <v>10574</v>
      </c>
      <c r="E14" s="14" t="str">
        <f t="shared" si="2"/>
        <v>72774</v>
      </c>
      <c r="F14" s="12">
        <v>1.64</v>
      </c>
      <c r="G14" s="13">
        <v>19060.0</v>
      </c>
      <c r="H14" s="13">
        <v>5450.0</v>
      </c>
      <c r="I14" s="14" t="str">
        <f t="shared" si="7"/>
        <v>1226</v>
      </c>
      <c r="J14" s="14" t="str">
        <f t="shared" si="3"/>
        <v>42207</v>
      </c>
      <c r="K14" s="14" t="str">
        <f t="shared" si="4"/>
        <v>67943</v>
      </c>
      <c r="L14" s="14" t="str">
        <f t="shared" si="5"/>
        <v>4831</v>
      </c>
      <c r="M14" s="14">
        <v>5.0</v>
      </c>
      <c r="N14" s="15" t="str">
        <f t="shared" si="6"/>
        <v>24155</v>
      </c>
    </row>
    <row r="15">
      <c r="A15" s="11">
        <v>43800.0</v>
      </c>
      <c r="B15" s="12">
        <v>0.17</v>
      </c>
      <c r="C15" s="13">
        <v>64100.0</v>
      </c>
      <c r="D15" s="14" t="str">
        <f t="shared" si="1"/>
        <v>10897</v>
      </c>
      <c r="E15" s="14" t="str">
        <f t="shared" si="2"/>
        <v>74997</v>
      </c>
      <c r="F15" s="12">
        <v>1.64</v>
      </c>
      <c r="G15" s="13">
        <v>19800.0</v>
      </c>
      <c r="H15" s="13">
        <v>5450.0</v>
      </c>
      <c r="I15" s="14" t="str">
        <f t="shared" si="7"/>
        <v>1263</v>
      </c>
      <c r="J15" s="14" t="str">
        <f t="shared" si="3"/>
        <v>43481</v>
      </c>
      <c r="K15" s="14" t="str">
        <f t="shared" si="4"/>
        <v>69994</v>
      </c>
      <c r="L15" s="14" t="str">
        <f t="shared" si="5"/>
        <v>5003</v>
      </c>
      <c r="M15" s="14">
        <v>1.0</v>
      </c>
      <c r="N15" s="15" t="str">
        <f t="shared" si="6"/>
        <v>5003</v>
      </c>
    </row>
    <row r="16">
      <c r="A16" s="11" t="s">
        <v>28</v>
      </c>
      <c r="B16" s="12">
        <v>0.17</v>
      </c>
      <c r="C16" s="13">
        <v>64100.0</v>
      </c>
      <c r="D16" s="14" t="str">
        <f t="shared" si="1"/>
        <v>10897</v>
      </c>
      <c r="E16" s="14" t="str">
        <f t="shared" si="2"/>
        <v>74997</v>
      </c>
      <c r="F16" s="12">
        <v>1.64</v>
      </c>
      <c r="G16" s="13">
        <v>19800.0</v>
      </c>
      <c r="H16" s="13">
        <v>5450.0</v>
      </c>
      <c r="I16" s="14" t="str">
        <f t="shared" si="7"/>
        <v>1263</v>
      </c>
      <c r="J16" s="14" t="str">
        <f t="shared" si="3"/>
        <v>43481</v>
      </c>
      <c r="K16" s="14" t="str">
        <f t="shared" si="4"/>
        <v>69994</v>
      </c>
      <c r="L16" s="14" t="str">
        <f t="shared" si="5"/>
        <v>5003</v>
      </c>
      <c r="M16" s="14">
        <v>6.0</v>
      </c>
      <c r="N16" s="15" t="str">
        <f t="shared" si="6"/>
        <v>30018</v>
      </c>
    </row>
    <row r="17">
      <c r="A17" s="11" t="s">
        <v>29</v>
      </c>
      <c r="B17" s="12">
        <v>0.17</v>
      </c>
      <c r="C17" s="13">
        <v>64100.0</v>
      </c>
      <c r="D17" s="14" t="str">
        <f t="shared" si="1"/>
        <v>10897</v>
      </c>
      <c r="E17" s="14" t="str">
        <f t="shared" si="2"/>
        <v>74997</v>
      </c>
      <c r="F17" s="12">
        <v>1.64</v>
      </c>
      <c r="G17" s="13">
        <v>19800.0</v>
      </c>
      <c r="H17" s="13">
        <v>5450.0</v>
      </c>
      <c r="I17" s="14" t="str">
        <f t="shared" si="7"/>
        <v>1263</v>
      </c>
      <c r="J17" s="14" t="str">
        <f t="shared" si="3"/>
        <v>43481</v>
      </c>
      <c r="K17" s="14" t="str">
        <f t="shared" si="4"/>
        <v>69994</v>
      </c>
      <c r="L17" s="14" t="str">
        <f t="shared" si="5"/>
        <v>5003</v>
      </c>
      <c r="M17" s="14">
        <v>5.0</v>
      </c>
      <c r="N17" s="15" t="str">
        <f t="shared" si="6"/>
        <v>25015</v>
      </c>
    </row>
    <row r="18">
      <c r="A18" s="11">
        <v>44166.0</v>
      </c>
      <c r="B18" s="12">
        <v>0.17</v>
      </c>
      <c r="C18" s="13">
        <v>66000.0</v>
      </c>
      <c r="D18" s="14" t="str">
        <f t="shared" si="1"/>
        <v>11220</v>
      </c>
      <c r="E18" s="14" t="str">
        <f t="shared" si="2"/>
        <v>77220</v>
      </c>
      <c r="F18" s="12">
        <v>1.64</v>
      </c>
      <c r="G18" s="13">
        <v>20560.0</v>
      </c>
      <c r="H18" s="13">
        <v>5450.0</v>
      </c>
      <c r="I18" s="14" t="str">
        <f t="shared" si="7"/>
        <v>1301</v>
      </c>
      <c r="J18" s="14" t="str">
        <f t="shared" si="3"/>
        <v>44790</v>
      </c>
      <c r="K18" s="14" t="str">
        <f t="shared" si="4"/>
        <v>72101</v>
      </c>
      <c r="L18" s="14" t="str">
        <f t="shared" si="5"/>
        <v>5119</v>
      </c>
      <c r="M18" s="14">
        <v>1.0</v>
      </c>
      <c r="N18" s="15" t="str">
        <f t="shared" si="6"/>
        <v>5119</v>
      </c>
    </row>
    <row r="19">
      <c r="A19" s="11" t="s">
        <v>30</v>
      </c>
      <c r="B19" s="12">
        <v>0.17</v>
      </c>
      <c r="C19" s="13">
        <v>66000.0</v>
      </c>
      <c r="D19" s="14" t="str">
        <f t="shared" si="1"/>
        <v>11220</v>
      </c>
      <c r="E19" s="14" t="str">
        <f t="shared" si="2"/>
        <v>77220</v>
      </c>
      <c r="F19" s="12">
        <v>1.64</v>
      </c>
      <c r="G19" s="13">
        <v>20560.0</v>
      </c>
      <c r="H19" s="13">
        <v>5450.0</v>
      </c>
      <c r="I19" s="14" t="str">
        <f t="shared" si="7"/>
        <v>1301</v>
      </c>
      <c r="J19" s="14" t="str">
        <f t="shared" si="3"/>
        <v>44790</v>
      </c>
      <c r="K19" s="14" t="str">
        <f t="shared" si="4"/>
        <v>72101</v>
      </c>
      <c r="L19" s="14" t="str">
        <f t="shared" si="5"/>
        <v>5119</v>
      </c>
      <c r="M19" s="14">
        <v>6.0</v>
      </c>
      <c r="N19" s="15" t="str">
        <f t="shared" si="6"/>
        <v>30714</v>
      </c>
    </row>
    <row r="20">
      <c r="A20" s="5" t="s">
        <v>17</v>
      </c>
      <c r="B20" s="5"/>
      <c r="C20" s="36"/>
      <c r="D20" s="37"/>
      <c r="E20" s="37"/>
      <c r="F20" s="37"/>
      <c r="G20" s="36"/>
      <c r="H20" s="36"/>
      <c r="I20" s="38"/>
      <c r="J20" s="38"/>
      <c r="K20" s="38"/>
      <c r="L20" s="37"/>
      <c r="M20" s="37"/>
      <c r="N20" s="15" t="str">
        <f>SUM(N4:N19)</f>
        <v>313547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N1"/>
    <mergeCell ref="C2:D2"/>
    <mergeCell ref="G2:J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 (2)</vt:lpstr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2026-02-04T09:48:50Z</dcterms:modified>
</cp:coreProperties>
</file>